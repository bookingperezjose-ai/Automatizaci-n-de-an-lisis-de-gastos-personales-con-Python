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ell\Desktop\Automatización de análisis de gastos personales con Python\"/>
    </mc:Choice>
  </mc:AlternateContent>
  <xr:revisionPtr revIDLastSave="0" documentId="13_ncr:1_{55E946CA-9F9A-431E-857D-4A0AA85FC8C2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Dashboard" sheetId="1" r:id="rId1"/>
    <sheet name="Top10_Gastos" sheetId="2" r:id="rId2"/>
    <sheet name="Tabla_Dinamica" sheetId="3" r:id="rId3"/>
    <sheet name="Outliers_Detectados" sheetId="4" r:id="rId4"/>
    <sheet name="Datos_Completos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7" i="3" l="1"/>
  <c r="H7" i="3"/>
  <c r="G7" i="3"/>
  <c r="F7" i="3"/>
  <c r="E7" i="3"/>
  <c r="D7" i="3"/>
  <c r="C7" i="3"/>
  <c r="B7" i="3"/>
  <c r="I6" i="3"/>
  <c r="I5" i="3"/>
  <c r="I4" i="3"/>
  <c r="I3" i="3"/>
  <c r="I2" i="3"/>
  <c r="B32" i="1"/>
  <c r="B31" i="1"/>
  <c r="B30" i="1"/>
  <c r="B29" i="1"/>
  <c r="B28" i="1"/>
  <c r="B27" i="1"/>
</calcChain>
</file>

<file path=xl/sharedStrings.xml><?xml version="1.0" encoding="utf-8"?>
<sst xmlns="http://schemas.openxmlformats.org/spreadsheetml/2006/main" count="1380" uniqueCount="232">
  <si>
    <t>DASHBOARD — ANÁLISIS DE GASTOS PERSONALES (6 MESES)</t>
  </si>
  <si>
    <t>Gasto Total (6m)</t>
  </si>
  <si>
    <t>Promedio Mensual</t>
  </si>
  <si>
    <t>Gasto Máximo</t>
  </si>
  <si>
    <t>Gasto Mínimo</t>
  </si>
  <si>
    <t>Outliers Detectados</t>
  </si>
  <si>
    <t>Proyección Próx. Mes</t>
  </si>
  <si>
    <t>R$ 75,861.42</t>
  </si>
  <si>
    <t>R$ 10,837.35</t>
  </si>
  <si>
    <t>R$ 1,993.81</t>
  </si>
  <si>
    <t>R$ 15.67</t>
  </si>
  <si>
    <t>8</t>
  </si>
  <si>
    <t>R$ 12,986.96</t>
  </si>
  <si>
    <t>Mes</t>
  </si>
  <si>
    <t>Gasto Total</t>
  </si>
  <si>
    <t>2025-12</t>
  </si>
  <si>
    <t>2026-01</t>
  </si>
  <si>
    <t>2026-02</t>
  </si>
  <si>
    <t>2026-03</t>
  </si>
  <si>
    <t>2026-04</t>
  </si>
  <si>
    <t>2026-05</t>
  </si>
  <si>
    <t>2026-06</t>
  </si>
  <si>
    <t>Categoría</t>
  </si>
  <si>
    <t>Total Gastado</t>
  </si>
  <si>
    <t>Alimentación</t>
  </si>
  <si>
    <t>Transporte</t>
  </si>
  <si>
    <t>Entretenimiento</t>
  </si>
  <si>
    <t>Servicios</t>
  </si>
  <si>
    <t>Otros</t>
  </si>
  <si>
    <t>Variación %</t>
  </si>
  <si>
    <t>Fecha</t>
  </si>
  <si>
    <t>Descripción</t>
  </si>
  <si>
    <t>Monto</t>
  </si>
  <si>
    <t>2026-01-19</t>
  </si>
  <si>
    <t>Conserto Notebook</t>
  </si>
  <si>
    <t>2026-01-25</t>
  </si>
  <si>
    <t>Multa de Trânsito</t>
  </si>
  <si>
    <t>2026-06-06</t>
  </si>
  <si>
    <t>2026-03-16</t>
  </si>
  <si>
    <t>Compra Eletrônico Magazine Luiza</t>
  </si>
  <si>
    <t>2026-06-10</t>
  </si>
  <si>
    <t>2026-03-11</t>
  </si>
  <si>
    <t>Despesa Médica Particular</t>
  </si>
  <si>
    <t>2026-04-29</t>
  </si>
  <si>
    <t>2026-06-23</t>
  </si>
  <si>
    <t>2026-03-13</t>
  </si>
  <si>
    <t>Condomínio Edifício</t>
  </si>
  <si>
    <t>2026-02-03</t>
  </si>
  <si>
    <t>Total</t>
  </si>
  <si>
    <t>TOTAL</t>
  </si>
  <si>
    <t>Transacciones anómalas (Monto &gt; Q3 + 1.5×IQR = R$ 627.38)</t>
  </si>
  <si>
    <t>Umbral Aplicado</t>
  </si>
  <si>
    <t>Tipo</t>
  </si>
  <si>
    <t>Saldo anterior</t>
  </si>
  <si>
    <t>Saldo posterior</t>
  </si>
  <si>
    <t>2025-12-27</t>
  </si>
  <si>
    <t>Livraria Cultura</t>
  </si>
  <si>
    <t>Débito</t>
  </si>
  <si>
    <t>Pet Shop Cobasi</t>
  </si>
  <si>
    <t>2025-12-28</t>
  </si>
  <si>
    <t>Pão de Açúcar</t>
  </si>
  <si>
    <t>Mercado Mundial</t>
  </si>
  <si>
    <t>Posto Ipiranga - Gasolina</t>
  </si>
  <si>
    <t>2025-12-29</t>
  </si>
  <si>
    <t>2026-01-01</t>
  </si>
  <si>
    <t>Steam - Jogos</t>
  </si>
  <si>
    <t>2026-01-02</t>
  </si>
  <si>
    <t>Netflix</t>
  </si>
  <si>
    <t>Cinema Cinemark</t>
  </si>
  <si>
    <t>2026-01-03</t>
  </si>
  <si>
    <t>Spotify Premium</t>
  </si>
  <si>
    <t>2026-01-04</t>
  </si>
  <si>
    <t>Padaria Boa Vista</t>
  </si>
  <si>
    <t>Supermercado Carrefour</t>
  </si>
  <si>
    <t>2026-01-05</t>
  </si>
  <si>
    <t>Estacionamento Shopping</t>
  </si>
  <si>
    <t>2026-01-06</t>
  </si>
  <si>
    <t>2026-01-08</t>
  </si>
  <si>
    <t>2026-01-09</t>
  </si>
  <si>
    <t>Loja Renner</t>
  </si>
  <si>
    <t>Vivo Internet Fibra</t>
  </si>
  <si>
    <t>2026-01-10</t>
  </si>
  <si>
    <t>Restaurante Madero</t>
  </si>
  <si>
    <t>2026-01-11</t>
  </si>
  <si>
    <t>2026-01-13</t>
  </si>
  <si>
    <t>99 Pop</t>
  </si>
  <si>
    <t>Oficina Mecânica Silva</t>
  </si>
  <si>
    <t>YouTube Premium</t>
  </si>
  <si>
    <t>2026-01-14</t>
  </si>
  <si>
    <t>2026-01-15</t>
  </si>
  <si>
    <t>Big Box Atacado</t>
  </si>
  <si>
    <t>2026-01-17</t>
  </si>
  <si>
    <t>Sanepar - Água</t>
  </si>
  <si>
    <t>2026-01-18</t>
  </si>
  <si>
    <t>Amazon BR</t>
  </si>
  <si>
    <t>2026-01-20</t>
  </si>
  <si>
    <t>Açougue Central</t>
  </si>
  <si>
    <t>2026-01-21</t>
  </si>
  <si>
    <t>2026-01-22</t>
  </si>
  <si>
    <t>2026-01-23</t>
  </si>
  <si>
    <t>iFood - Pedido</t>
  </si>
  <si>
    <t>2026-01-26</t>
  </si>
  <si>
    <t>2026-01-27</t>
  </si>
  <si>
    <t>2026-01-28</t>
  </si>
  <si>
    <t>Bar do Alemão</t>
  </si>
  <si>
    <t>Seguro Auto Porto</t>
  </si>
  <si>
    <t>2026-01-29</t>
  </si>
  <si>
    <t>2026-01-30</t>
  </si>
  <si>
    <t>2026-01-31</t>
  </si>
  <si>
    <t>Uber</t>
  </si>
  <si>
    <t>2026-02-04</t>
  </si>
  <si>
    <t>2026-02-05</t>
  </si>
  <si>
    <t>2026-02-06</t>
  </si>
  <si>
    <t>2026-02-07</t>
  </si>
  <si>
    <t>2026-02-08</t>
  </si>
  <si>
    <t>2026-02-09</t>
  </si>
  <si>
    <t>Salão de Beleza</t>
  </si>
  <si>
    <t>Pedágio Linha Verde</t>
  </si>
  <si>
    <t>2026-02-10</t>
  </si>
  <si>
    <t>2026-02-11</t>
  </si>
  <si>
    <t>2026-02-13</t>
  </si>
  <si>
    <t>Copel - Energia Elétrica</t>
  </si>
  <si>
    <t>2026-02-14</t>
  </si>
  <si>
    <t>2026-02-15</t>
  </si>
  <si>
    <t>2026-02-17</t>
  </si>
  <si>
    <t>2026-02-18</t>
  </si>
  <si>
    <t>2026-02-19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</si>
  <si>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</si>
  <si>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</si>
  <si>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</si>
  <si>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</si>
  <si>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</si>
  <si>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</si>
  <si>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</si>
  <si>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</si>
  <si>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</si>
  <si>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</si>
  <si>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</si>
  <si>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</si>
  <si>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</si>
  <si>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2026-03-07</t>
  </si>
  <si>
    <t>2026-03-10</t>
  </si>
  <si>
    <t>2026-03-12</t>
  </si>
  <si>
    <t>2026-03-14</t>
  </si>
  <si>
    <t>2026-03-15</t>
  </si>
  <si>
    <t>2026-03-17</t>
  </si>
  <si>
    <t>2026-03-18</t>
  </si>
  <si>
    <t>2026-03-20</t>
  </si>
  <si>
    <t>2026-03-22</t>
  </si>
  <si>
    <t>2026-03-23</t>
  </si>
  <si>
    <t>2026-03-24</t>
  </si>
  <si>
    <t>2026-03-25</t>
  </si>
  <si>
    <t>2026-03-26</t>
  </si>
  <si>
    <t>2026-03-27</t>
  </si>
  <si>
    <t>2026-03-29</t>
  </si>
  <si>
    <t>2026-03-30</t>
  </si>
  <si>
    <t>2026-03-31</t>
  </si>
  <si>
    <t>2026-04-02</t>
  </si>
  <si>
    <t>2026-04-03</t>
  </si>
  <si>
    <t>Claro Pós-pago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</si>
  <si>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</si>
  <si>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</si>
  <si>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</si>
  <si>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</si>
  <si>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</si>
  <si>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</si>
  <si>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</si>
  <si>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</si>
  <si>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</si>
  <si>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</si>
  <si>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</si>
  <si>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</si>
  <si>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</si>
  <si>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</si>
  <si>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</si>
  <si>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</si>
  <si>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</si>
  <si>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</si>
  <si>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</si>
  <si>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</si>
  <si>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</si>
  <si>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</si>
  <si>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</si>
  <si>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</si>
  <si>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2026-04-30</t>
  </si>
  <si>
    <t>2026-05-01</t>
  </si>
  <si>
    <t>Farmácia São Paulo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</si>
  <si>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</si>
  <si>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</si>
  <si>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</si>
  <si>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</si>
  <si>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</si>
  <si>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</si>
  <si>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</si>
  <si>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</si>
  <si>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</si>
  <si>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</si>
  <si>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</si>
  <si>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</si>
  <si>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</si>
  <si>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</si>
  <si>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</si>
  <si>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</si>
  <si>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</si>
  <si>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</si>
  <si>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</si>
  <si>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</si>
  <si>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</si>
  <si>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</si>
  <si>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</si>
  <si>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</si>
  <si>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</si>
  <si>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</si>
  <si>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</si>
  <si>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2026-05-30</t>
  </si>
  <si>
    <t>2026-05-31</t>
  </si>
  <si>
    <t>2026-06-01</t>
  </si>
  <si>
    <t>2026-06-03</t>
  </si>
  <si>
    <t>2026-06-04</t>
  </si>
  <si>
    <t>2026-06-05</t>
  </si>
  <si>
    <t>2026-06-08</t>
  </si>
  <si>
    <t>2026-06-09</t>
  </si>
  <si>
    <t>2026-06-11</t>
  </si>
  <si>
    <t>2026-06-12</t>
  </si>
  <si>
    <t>2026-06-14</t>
  </si>
  <si>
    <t>2026-06-15</t>
  </si>
  <si>
    <t>2026-06-16</t>
  </si>
  <si>
    <t>2026-06-17</t>
  </si>
  <si>
    <t>2026-06-21</t>
  </si>
  <si>
    <t>2026-06-22</t>
  </si>
  <si>
    <t>2026-06-24</t>
  </si>
  <si>
    <t>2026-06-25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</si>
</sst>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 &quot;#,##0.00"/>
    <numFmt numFmtId="165" formatCode="0.0%"/>
  </numFmts>
  <fonts count="7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0"/>
      <color rgb="FF595959"/>
      <name val="Arial"/>
      <charset val="1"/>
    </font>
    <font>
      <b/>
      <sz val="16"/>
      <color rgb="FF1F4E78"/>
      <name val="Arial"/>
      <charset val="1"/>
    </font>
    <font>
      <b/>
      <sz val="11"/>
      <color rgb="FFFFFFFF"/>
      <name val="Arial"/>
      <charset val="1"/>
    </font>
    <font>
      <b/>
      <sz val="11"/>
      <name val="Cambria"/>
      <charset val="1"/>
    </font>
    <font>
      <b/>
      <i/>
      <sz val="11"/>
      <color rgb="FFC0000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AF1F8"/>
        <bgColor rgb="FFF9F9F9"/>
      </patternFill>
    </fill>
    <fill>
      <patternFill patternType="solid">
        <fgColor rgb="FFFCE4E4"/>
        <bgColor rgb="FFEAF1F8"/>
      </patternFill>
    </fill>
  </fills>
  <borders count="3">
    <border>
      <left/>
      <right/>
      <top/>
      <bottom/>
      <diagonal/>
    </border>
    <border>
      <left style="thin">
        <color rgb="FFB7C6D9"/>
      </left>
      <right style="thin">
        <color rgb="FFB7C6D9"/>
      </right>
      <top style="thin">
        <color rgb="FFB7C6D9"/>
      </top>
      <bottom style="thin">
        <color rgb="FFB7C6D9"/>
      </bottom>
      <diagonal/>
    </border>
    <border>
      <left style="thin">
        <color rgb="FFB7C6D9"/>
      </left>
      <right style="thin">
        <color rgb="FFB7C6D9"/>
      </right>
      <top/>
      <bottom style="thin">
        <color rgb="FFB7C6D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6" fillId="0" borderId="0" xfId="0" applyFont="1" applyBorder="1"/>
    <xf numFmtId="0" fontId="1" fillId="2" borderId="0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64" fontId="0" fillId="0" borderId="0" xfId="0" applyNumberFormat="1"/>
    <xf numFmtId="165" fontId="0" fillId="0" borderId="0" xfId="0" applyNumberFormat="1"/>
    <xf numFmtId="0" fontId="5" fillId="0" borderId="0" xfId="0" applyFont="1"/>
    <xf numFmtId="164" fontId="5" fillId="0" borderId="0" xfId="0" applyNumberFormat="1" applyFont="1"/>
    <xf numFmtId="0" fontId="0" fillId="4" borderId="0" xfId="0" applyFont="1" applyFill="1"/>
    <xf numFmtId="164" fontId="0" fillId="4" borderId="0" xfId="0" applyNumberFormat="1" applyFill="1"/>
    <xf numFmtId="0" fontId="0" fillId="0" borderId="0" xfId="0" applyFont="1"/>
    <xf numFmtId="0" fontId="4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1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charset val="1"/>
        <scheme val="none"/>
      </font>
      <fill>
        <patternFill patternType="solid">
          <fgColor rgb="FF003366"/>
          <bgColor rgb="FF1F4E7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7C6D9"/>
        </left>
        <right style="thin">
          <color rgb="FFB7C6D9"/>
        </right>
        <top/>
        <bottom/>
      </border>
    </dxf>
    <dxf>
      <numFmt numFmtId="164" formatCode="&quot;R$ &quot;#,##0.00"/>
    </dxf>
    <dxf>
      <numFmt numFmtId="164" formatCode="&quot;R$ &quot;#,##0.00"/>
    </dxf>
    <dxf>
      <numFmt numFmtId="164" formatCode="&quot;R$ &quot;#,##0.00"/>
    </dxf>
    <dxf>
      <numFmt numFmtId="164" formatCode="&quot;R$ &quot;#,##0.00"/>
    </dxf>
    <dxf>
      <numFmt numFmtId="164" formatCode="&quot;R$ &quot;#,##0.00"/>
    </dxf>
    <dxf>
      <numFmt numFmtId="164" formatCode="&quot;R$ &quot;#,##0.00"/>
    </dxf>
    <dxf>
      <numFmt numFmtId="164" formatCode="&quot;R$ &quot;#,##0.00"/>
    </dxf>
    <dxf>
      <numFmt numFmtId="164" formatCode="&quot;R$ &quot;#,##0.00"/>
    </dxf>
    <dxf>
      <border outline="0">
        <bottom style="thin">
          <color rgb="FFB7C6D9"/>
        </bottom>
      </border>
    </dxf>
    <dxf>
      <border outline="0">
        <top style="thin">
          <color rgb="FFB7C6D9"/>
        </top>
      </border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6D9"/>
      <rgbColor rgb="FF878787"/>
      <rgbColor rgb="FF9999FF"/>
      <rgbColor rgb="FFBE4B48"/>
      <rgbColor rgb="FFF9F9F9"/>
      <rgbColor rgb="FFEAF1F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E4"/>
      <rgbColor rgb="FF4F81BD"/>
      <rgbColor rgb="FF4BACC6"/>
      <rgbColor rgb="FF9BBB59"/>
      <rgbColor rgb="FFFFCC00"/>
      <rgbColor rgb="FFFF9900"/>
      <rgbColor rgb="FFFF6600"/>
      <rgbColor rgb="FF8064A2"/>
      <rgbColor rgb="FF969696"/>
      <rgbColor rgb="FF003366"/>
      <rgbColor rgb="FF339966"/>
      <rgbColor rgb="FF003300"/>
      <rgbColor rgb="FF333300"/>
      <rgbColor rgb="FF993300"/>
      <rgbColor rgb="FFC0504D"/>
      <rgbColor rgb="FF1F4E78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Evolución de Gasto Mensual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Dashboard!$B$7</c:f>
              <c:strCache>
                <c:ptCount val="1"/>
                <c:pt idx="0">
                  <c:v>Gasto Total</c:v>
                </c:pt>
              </c:strCache>
            </c:strRef>
          </c:tx>
          <c:spPr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Dashboard!$A$8:$A$14</c:f>
              <c:strCache>
                <c:ptCount val="7"/>
                <c:pt idx="0">
                  <c:v>2025-12</c:v>
                </c:pt>
                <c:pt idx="1">
                  <c:v>2026-01</c:v>
                </c:pt>
                <c:pt idx="2">
                  <c:v>2026-02</c:v>
                </c:pt>
                <c:pt idx="3">
                  <c:v>2026-03</c:v>
                </c:pt>
                <c:pt idx="4">
                  <c:v>2026-04</c:v>
                </c:pt>
                <c:pt idx="5">
                  <c:v>2026-05</c:v>
                </c:pt>
                <c:pt idx="6">
                  <c:v>2026-06</c:v>
                </c:pt>
              </c:strCache>
            </c:strRef>
          </c:cat>
          <c:val>
            <c:numRef>
              <c:f>Dashboard!$B$8:$B$14</c:f>
              <c:numCache>
                <c:formatCode>"R$ "#,##0.00</c:formatCode>
                <c:ptCount val="7"/>
                <c:pt idx="0">
                  <c:v>1936.92</c:v>
                </c:pt>
                <c:pt idx="1">
                  <c:v>13453.17</c:v>
                </c:pt>
                <c:pt idx="2">
                  <c:v>9896.56</c:v>
                </c:pt>
                <c:pt idx="3">
                  <c:v>11613.88</c:v>
                </c:pt>
                <c:pt idx="4">
                  <c:v>13142.14</c:v>
                </c:pt>
                <c:pt idx="5">
                  <c:v>16041.09</c:v>
                </c:pt>
                <c:pt idx="6">
                  <c:v>9777.66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1B8-4A4F-9B06-2F2C892B51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94709030"/>
        <c:axId val="75359490"/>
      </c:lineChart>
      <c:catAx>
        <c:axId val="9470903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Mes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75359490"/>
        <c:crosses val="autoZero"/>
        <c:auto val="1"/>
        <c:lblAlgn val="ctr"/>
        <c:lblOffset val="100"/>
        <c:noMultiLvlLbl val="0"/>
      </c:catAx>
      <c:valAx>
        <c:axId val="7535949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R$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R$ &quot;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9470903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Distribución de Gasto por Categoría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Dashboard!$B$17</c:f>
              <c:strCache>
                <c:ptCount val="1"/>
                <c:pt idx="0">
                  <c:v>Total Gastado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98E3-4CD2-956C-B3BC1EA35697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98E3-4CD2-956C-B3BC1EA35697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98E3-4CD2-956C-B3BC1EA35697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98E3-4CD2-956C-B3BC1EA35697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98E3-4CD2-956C-B3BC1EA35697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pt-B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98E3-4CD2-956C-B3BC1EA35697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pt-B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98E3-4CD2-956C-B3BC1EA35697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pt-B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98E3-4CD2-956C-B3BC1EA35697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pt-B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98E3-4CD2-956C-B3BC1EA35697}"/>
                </c:ext>
              </c:extLst>
            </c:dLbl>
            <c:dLbl>
              <c:idx val="4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pt-B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98E3-4CD2-956C-B3BC1EA3569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Dashboard!$A$18:$A$22</c:f>
              <c:strCache>
                <c:ptCount val="5"/>
                <c:pt idx="0">
                  <c:v>Alimentación</c:v>
                </c:pt>
                <c:pt idx="1">
                  <c:v>Transporte</c:v>
                </c:pt>
                <c:pt idx="2">
                  <c:v>Entretenimiento</c:v>
                </c:pt>
                <c:pt idx="3">
                  <c:v>Servicios</c:v>
                </c:pt>
                <c:pt idx="4">
                  <c:v>Otros</c:v>
                </c:pt>
              </c:strCache>
            </c:strRef>
          </c:cat>
          <c:val>
            <c:numRef>
              <c:f>Dashboard!$B$18:$B$22</c:f>
              <c:numCache>
                <c:formatCode>"R$ "#,##0.00</c:formatCode>
                <c:ptCount val="5"/>
                <c:pt idx="0">
                  <c:v>24006.21</c:v>
                </c:pt>
                <c:pt idx="1">
                  <c:v>12461.1</c:v>
                </c:pt>
                <c:pt idx="2">
                  <c:v>5065.88</c:v>
                </c:pt>
                <c:pt idx="3">
                  <c:v>13217.45</c:v>
                </c:pt>
                <c:pt idx="4">
                  <c:v>21110.78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8E3-4CD2-956C-B3BC1EA356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Variación de Gasto Mes a Mes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Dashboard!$B$25</c:f>
              <c:strCache>
                <c:ptCount val="1"/>
                <c:pt idx="0">
                  <c:v>Variación %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Dashboard!$A$26:$A$32</c:f>
              <c:strCache>
                <c:ptCount val="7"/>
                <c:pt idx="0">
                  <c:v>2025-12</c:v>
                </c:pt>
                <c:pt idx="1">
                  <c:v>2026-01</c:v>
                </c:pt>
                <c:pt idx="2">
                  <c:v>2026-02</c:v>
                </c:pt>
                <c:pt idx="3">
                  <c:v>2026-03</c:v>
                </c:pt>
                <c:pt idx="4">
                  <c:v>2026-04</c:v>
                </c:pt>
                <c:pt idx="5">
                  <c:v>2026-05</c:v>
                </c:pt>
                <c:pt idx="6">
                  <c:v>2026-06</c:v>
                </c:pt>
              </c:strCache>
            </c:strRef>
          </c:cat>
          <c:val>
            <c:numRef>
              <c:f>Dashboard!$B$26:$B$32</c:f>
              <c:numCache>
                <c:formatCode>0.0%</c:formatCode>
                <c:ptCount val="7"/>
                <c:pt idx="0">
                  <c:v>0</c:v>
                </c:pt>
                <c:pt idx="1">
                  <c:v>5.9456508270863013</c:v>
                </c:pt>
                <c:pt idx="2">
                  <c:v>-0.26436966157418662</c:v>
                </c:pt>
                <c:pt idx="3">
                  <c:v>0.17352696290428188</c:v>
                </c:pt>
                <c:pt idx="4">
                  <c:v>0.1315890985613766</c:v>
                </c:pt>
                <c:pt idx="5">
                  <c:v>0.22058431884000634</c:v>
                </c:pt>
                <c:pt idx="6">
                  <c:v>-0.3904616207502109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17-4644-B424-984BEEECD9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136465"/>
        <c:axId val="47889678"/>
      </c:barChart>
      <c:catAx>
        <c:axId val="2613646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47889678"/>
        <c:crosses val="autoZero"/>
        <c:auto val="1"/>
        <c:lblAlgn val="ctr"/>
        <c:lblOffset val="100"/>
        <c:noMultiLvlLbl val="0"/>
      </c:catAx>
      <c:valAx>
        <c:axId val="4788967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% Variación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2613646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Top 10 Transacciones Más Altas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Top10_Gastos!$D$1</c:f>
              <c:strCache>
                <c:ptCount val="1"/>
                <c:pt idx="0">
                  <c:v>Monto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Top10_Gastos!$B$2:$B$11</c:f>
              <c:strCache>
                <c:ptCount val="10"/>
                <c:pt idx="0">
                  <c:v>Conserto Notebook</c:v>
                </c:pt>
                <c:pt idx="1">
                  <c:v>Multa de Trânsito</c:v>
                </c:pt>
                <c:pt idx="2">
                  <c:v>Conserto Notebook</c:v>
                </c:pt>
                <c:pt idx="3">
                  <c:v>Compra Eletrônico Magazine Luiza</c:v>
                </c:pt>
                <c:pt idx="4">
                  <c:v>Conserto Notebook</c:v>
                </c:pt>
                <c:pt idx="5">
                  <c:v>Despesa Médica Particular</c:v>
                </c:pt>
                <c:pt idx="6">
                  <c:v>Multa de Trânsito</c:v>
                </c:pt>
                <c:pt idx="7">
                  <c:v>Multa de Trânsito</c:v>
                </c:pt>
                <c:pt idx="8">
                  <c:v>Condomínio Edifício</c:v>
                </c:pt>
                <c:pt idx="9">
                  <c:v>Condomínio Edifício</c:v>
                </c:pt>
              </c:strCache>
            </c:strRef>
          </c:cat>
          <c:val>
            <c:numRef>
              <c:f>Top10_Gastos!$D$2:$D$11</c:f>
              <c:numCache>
                <c:formatCode>"R$ "#,##0.00</c:formatCode>
                <c:ptCount val="10"/>
                <c:pt idx="0">
                  <c:v>1993.81</c:v>
                </c:pt>
                <c:pt idx="1">
                  <c:v>1957.65</c:v>
                </c:pt>
                <c:pt idx="2">
                  <c:v>1767.83</c:v>
                </c:pt>
                <c:pt idx="3">
                  <c:v>1641.8</c:v>
                </c:pt>
                <c:pt idx="4">
                  <c:v>1598.7</c:v>
                </c:pt>
                <c:pt idx="5">
                  <c:v>1532.39</c:v>
                </c:pt>
                <c:pt idx="6">
                  <c:v>1394.98</c:v>
                </c:pt>
                <c:pt idx="7">
                  <c:v>1297.1400000000001</c:v>
                </c:pt>
                <c:pt idx="8">
                  <c:v>594.47</c:v>
                </c:pt>
                <c:pt idx="9">
                  <c:v>571.76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75-4070-9B2A-1DB934FAF9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1819326"/>
        <c:axId val="65655141"/>
      </c:barChart>
      <c:catAx>
        <c:axId val="8181932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65655141"/>
        <c:crosses val="autoZero"/>
        <c:auto val="1"/>
        <c:lblAlgn val="ctr"/>
        <c:lblOffset val="100"/>
        <c:noMultiLvlLbl val="0"/>
      </c:catAx>
      <c:valAx>
        <c:axId val="6565514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R$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R$ &quot;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8181932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6</xdr:row>
      <xdr:rowOff>0</xdr:rowOff>
    </xdr:from>
    <xdr:to>
      <xdr:col>6</xdr:col>
      <xdr:colOff>951480</xdr:colOff>
      <xdr:row>21</xdr:row>
      <xdr:rowOff>21960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0</xdr:colOff>
      <xdr:row>23</xdr:row>
      <xdr:rowOff>0</xdr:rowOff>
    </xdr:from>
    <xdr:to>
      <xdr:col>6</xdr:col>
      <xdr:colOff>951480</xdr:colOff>
      <xdr:row>38</xdr:row>
      <xdr:rowOff>22320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0</xdr:colOff>
      <xdr:row>40</xdr:row>
      <xdr:rowOff>0</xdr:rowOff>
    </xdr:from>
    <xdr:to>
      <xdr:col>6</xdr:col>
      <xdr:colOff>951480</xdr:colOff>
      <xdr:row>55</xdr:row>
      <xdr:rowOff>22320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0</xdr:rowOff>
    </xdr:from>
    <xdr:to>
      <xdr:col>14</xdr:col>
      <xdr:colOff>255960</xdr:colOff>
      <xdr:row>17</xdr:row>
      <xdr:rowOff>1080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AD0A0C-9714-45E9-ABF1-222E76D27736}" name="Tabela1" displayName="Tabela1" ref="A1:I7" totalsRowShown="0" headerRowDxfId="0" headerRowBorderDxfId="9" tableBorderDxfId="10">
  <autoFilter ref="A1:I7" xr:uid="{AEAD0A0C-9714-45E9-ABF1-222E76D27736}"/>
  <tableColumns count="9">
    <tableColumn id="1" xr3:uid="{CB06559B-1FBE-4E64-BFF2-2A557E691C87}" name="Categoría"/>
    <tableColumn id="2" xr3:uid="{B315D18B-984C-4D05-B6F1-1C59A77BE3B6}" name="2025-12" dataDxfId="8"/>
    <tableColumn id="3" xr3:uid="{B3155997-D010-412B-8E82-921FD1AE09ED}" name="2026-01" dataDxfId="7"/>
    <tableColumn id="4" xr3:uid="{E7AC0734-A2B5-4DBA-B97A-0F15EEA8BF32}" name="2026-02" dataDxfId="6"/>
    <tableColumn id="5" xr3:uid="{0A3E5468-CFD5-4E0B-93E5-AF195444E88D}" name="2026-03" dataDxfId="5"/>
    <tableColumn id="6" xr3:uid="{E251D8D6-A922-4577-81BC-6BD905FFAB3B}" name="2026-04" dataDxfId="4"/>
    <tableColumn id="7" xr3:uid="{5B5371D4-DFD0-4C46-A364-EC825A99C9D1}" name="2026-05" dataDxfId="3"/>
    <tableColumn id="8" xr3:uid="{5DCCEFD6-BEA5-4A36-AD73-9C7815E56E69}" name="2026-06" dataDxfId="2"/>
    <tableColumn id="9" xr3:uid="{E956122E-243C-4F70-91DC-091467143373}" name="Total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"/>
  <sheetViews>
    <sheetView showGridLines="0" tabSelected="1" zoomScaleNormal="100" workbookViewId="0">
      <selection sqref="A1:H1"/>
    </sheetView>
  </sheetViews>
  <sheetFormatPr defaultColWidth="8.7109375" defaultRowHeight="15" x14ac:dyDescent="0.25"/>
  <cols>
    <col min="1" max="1" width="22" customWidth="1"/>
    <col min="2" max="4" width="18" customWidth="1"/>
    <col min="5" max="6" width="20" customWidth="1"/>
    <col min="7" max="7" width="18" customWidth="1"/>
  </cols>
  <sheetData>
    <row r="1" spans="1:8" ht="27.75" customHeight="1" x14ac:dyDescent="0.25">
      <c r="A1" s="2" t="s">
        <v>0</v>
      </c>
      <c r="B1" s="2"/>
      <c r="C1" s="2"/>
      <c r="D1" s="2"/>
      <c r="E1" s="2"/>
      <c r="F1" s="2"/>
      <c r="G1" s="2"/>
      <c r="H1" s="2"/>
    </row>
    <row r="3" spans="1:8" ht="18" customHeight="1" x14ac:dyDescent="0.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1:8" ht="24" customHeight="1" x14ac:dyDescent="0.25">
      <c r="A4" s="4" t="s">
        <v>7</v>
      </c>
      <c r="B4" s="4" t="s">
        <v>8</v>
      </c>
      <c r="C4" s="4" t="s">
        <v>9</v>
      </c>
      <c r="D4" s="4" t="s">
        <v>10</v>
      </c>
      <c r="E4" s="4" t="s">
        <v>11</v>
      </c>
      <c r="F4" s="4" t="s">
        <v>12</v>
      </c>
    </row>
    <row r="7" spans="1:8" x14ac:dyDescent="0.25">
      <c r="A7" s="5" t="s">
        <v>13</v>
      </c>
      <c r="B7" s="5" t="s">
        <v>14</v>
      </c>
    </row>
    <row r="8" spans="1:8" x14ac:dyDescent="0.25">
      <c r="A8" t="s">
        <v>15</v>
      </c>
      <c r="B8" s="6">
        <v>1936.92</v>
      </c>
    </row>
    <row r="9" spans="1:8" x14ac:dyDescent="0.25">
      <c r="A9" t="s">
        <v>16</v>
      </c>
      <c r="B9" s="6">
        <v>13453.17</v>
      </c>
    </row>
    <row r="10" spans="1:8" x14ac:dyDescent="0.25">
      <c r="A10" t="s">
        <v>17</v>
      </c>
      <c r="B10" s="6">
        <v>9896.56</v>
      </c>
    </row>
    <row r="11" spans="1:8" x14ac:dyDescent="0.25">
      <c r="A11" t="s">
        <v>18</v>
      </c>
      <c r="B11" s="6">
        <v>11613.88</v>
      </c>
    </row>
    <row r="12" spans="1:8" x14ac:dyDescent="0.25">
      <c r="A12" t="s">
        <v>19</v>
      </c>
      <c r="B12" s="6">
        <v>13142.14</v>
      </c>
    </row>
    <row r="13" spans="1:8" x14ac:dyDescent="0.25">
      <c r="A13" t="s">
        <v>20</v>
      </c>
      <c r="B13" s="6">
        <v>16041.09</v>
      </c>
    </row>
    <row r="14" spans="1:8" x14ac:dyDescent="0.25">
      <c r="A14" t="s">
        <v>21</v>
      </c>
      <c r="B14" s="6">
        <v>9777.66</v>
      </c>
    </row>
    <row r="17" spans="1:2" x14ac:dyDescent="0.25">
      <c r="A17" s="5" t="s">
        <v>22</v>
      </c>
      <c r="B17" s="5" t="s">
        <v>23</v>
      </c>
    </row>
    <row r="18" spans="1:2" x14ac:dyDescent="0.25">
      <c r="A18" t="s">
        <v>24</v>
      </c>
      <c r="B18" s="6">
        <v>24006.21</v>
      </c>
    </row>
    <row r="19" spans="1:2" x14ac:dyDescent="0.25">
      <c r="A19" t="s">
        <v>25</v>
      </c>
      <c r="B19" s="6">
        <v>12461.1</v>
      </c>
    </row>
    <row r="20" spans="1:2" x14ac:dyDescent="0.25">
      <c r="A20" t="s">
        <v>26</v>
      </c>
      <c r="B20" s="6">
        <v>5065.88</v>
      </c>
    </row>
    <row r="21" spans="1:2" x14ac:dyDescent="0.25">
      <c r="A21" t="s">
        <v>27</v>
      </c>
      <c r="B21" s="6">
        <v>13217.45</v>
      </c>
    </row>
    <row r="22" spans="1:2" x14ac:dyDescent="0.25">
      <c r="A22" t="s">
        <v>28</v>
      </c>
      <c r="B22" s="6">
        <v>21110.78</v>
      </c>
    </row>
    <row r="25" spans="1:2" x14ac:dyDescent="0.25">
      <c r="A25" s="5" t="s">
        <v>13</v>
      </c>
      <c r="B25" s="5" t="s">
        <v>29</v>
      </c>
    </row>
    <row r="26" spans="1:2" x14ac:dyDescent="0.25">
      <c r="A26" t="s">
        <v>15</v>
      </c>
      <c r="B26" s="7">
        <v>0</v>
      </c>
    </row>
    <row r="27" spans="1:2" x14ac:dyDescent="0.25">
      <c r="A27" t="s">
        <v>16</v>
      </c>
      <c r="B27" s="7">
        <f t="shared" ref="B27:B32" si="0">IF(B8=0,"",(B9-B8)/B8)</f>
        <v>5.9456508270863013</v>
      </c>
    </row>
    <row r="28" spans="1:2" x14ac:dyDescent="0.25">
      <c r="A28" t="s">
        <v>17</v>
      </c>
      <c r="B28" s="7">
        <f t="shared" si="0"/>
        <v>-0.26436966157418662</v>
      </c>
    </row>
    <row r="29" spans="1:2" x14ac:dyDescent="0.25">
      <c r="A29" t="s">
        <v>18</v>
      </c>
      <c r="B29" s="7">
        <f t="shared" si="0"/>
        <v>0.17352696290428188</v>
      </c>
    </row>
    <row r="30" spans="1:2" x14ac:dyDescent="0.25">
      <c r="A30" t="s">
        <v>19</v>
      </c>
      <c r="B30" s="7">
        <f t="shared" si="0"/>
        <v>0.1315890985613766</v>
      </c>
    </row>
    <row r="31" spans="1:2" x14ac:dyDescent="0.25">
      <c r="A31" t="s">
        <v>20</v>
      </c>
      <c r="B31" s="7">
        <f t="shared" si="0"/>
        <v>0.22058431884000634</v>
      </c>
    </row>
    <row r="32" spans="1:2" x14ac:dyDescent="0.25">
      <c r="A32" t="s">
        <v>21</v>
      </c>
      <c r="B32" s="7">
        <f t="shared" si="0"/>
        <v>-0.3904616207502109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showGridLines="0" zoomScaleNormal="100" workbookViewId="0"/>
  </sheetViews>
  <sheetFormatPr defaultColWidth="8.7109375" defaultRowHeight="15" x14ac:dyDescent="0.25"/>
  <cols>
    <col min="1" max="1" width="14" customWidth="1"/>
    <col min="2" max="2" width="32" customWidth="1"/>
    <col min="3" max="3" width="18" customWidth="1"/>
    <col min="4" max="4" width="14" customWidth="1"/>
  </cols>
  <sheetData>
    <row r="1" spans="1:4" x14ac:dyDescent="0.25">
      <c r="A1" s="5" t="s">
        <v>30</v>
      </c>
      <c r="B1" s="5" t="s">
        <v>31</v>
      </c>
      <c r="C1" s="5" t="s">
        <v>22</v>
      </c>
      <c r="D1" s="5" t="s">
        <v>32</v>
      </c>
    </row>
    <row r="2" spans="1:4" x14ac:dyDescent="0.25">
      <c r="A2" t="s">
        <v>33</v>
      </c>
      <c r="B2" t="s">
        <v>34</v>
      </c>
      <c r="C2" t="s">
        <v>28</v>
      </c>
      <c r="D2" s="6">
        <v>1993.81</v>
      </c>
    </row>
    <row r="3" spans="1:4" x14ac:dyDescent="0.25">
      <c r="A3" t="s">
        <v>35</v>
      </c>
      <c r="B3" t="s">
        <v>36</v>
      </c>
      <c r="C3" t="s">
        <v>28</v>
      </c>
      <c r="D3" s="6">
        <v>1957.65</v>
      </c>
    </row>
    <row r="4" spans="1:4" x14ac:dyDescent="0.25">
      <c r="A4" t="s">
        <v>37</v>
      </c>
      <c r="B4" t="s">
        <v>34</v>
      </c>
      <c r="C4" t="s">
        <v>28</v>
      </c>
      <c r="D4" s="6">
        <v>1767.83</v>
      </c>
    </row>
    <row r="5" spans="1:4" x14ac:dyDescent="0.25">
      <c r="A5" t="s">
        <v>38</v>
      </c>
      <c r="B5" t="s">
        <v>39</v>
      </c>
      <c r="C5" t="s">
        <v>28</v>
      </c>
      <c r="D5" s="6">
        <v>1641.8</v>
      </c>
    </row>
    <row r="6" spans="1:4" x14ac:dyDescent="0.25">
      <c r="A6" t="s">
        <v>40</v>
      </c>
      <c r="B6" t="s">
        <v>34</v>
      </c>
      <c r="C6" t="s">
        <v>28</v>
      </c>
      <c r="D6" s="6">
        <v>1598.7</v>
      </c>
    </row>
    <row r="7" spans="1:4" x14ac:dyDescent="0.25">
      <c r="A7" t="s">
        <v>41</v>
      </c>
      <c r="B7" t="s">
        <v>42</v>
      </c>
      <c r="C7" t="s">
        <v>28</v>
      </c>
      <c r="D7" s="6">
        <v>1532.39</v>
      </c>
    </row>
    <row r="8" spans="1:4" x14ac:dyDescent="0.25">
      <c r="A8" t="s">
        <v>43</v>
      </c>
      <c r="B8" t="s">
        <v>36</v>
      </c>
      <c r="C8" t="s">
        <v>28</v>
      </c>
      <c r="D8" s="6">
        <v>1394.98</v>
      </c>
    </row>
    <row r="9" spans="1:4" x14ac:dyDescent="0.25">
      <c r="A9" t="s">
        <v>44</v>
      </c>
      <c r="B9" t="s">
        <v>36</v>
      </c>
      <c r="C9" t="s">
        <v>28</v>
      </c>
      <c r="D9" s="6">
        <v>1297.1400000000001</v>
      </c>
    </row>
    <row r="10" spans="1:4" x14ac:dyDescent="0.25">
      <c r="A10" t="s">
        <v>45</v>
      </c>
      <c r="B10" t="s">
        <v>46</v>
      </c>
      <c r="C10" t="s">
        <v>27</v>
      </c>
      <c r="D10" s="6">
        <v>594.47</v>
      </c>
    </row>
    <row r="11" spans="1:4" x14ac:dyDescent="0.25">
      <c r="A11" t="s">
        <v>47</v>
      </c>
      <c r="B11" t="s">
        <v>46</v>
      </c>
      <c r="C11" t="s">
        <v>27</v>
      </c>
      <c r="D11" s="6">
        <v>571.76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7"/>
  <sheetViews>
    <sheetView showGridLines="0" zoomScaleNormal="100" workbookViewId="0">
      <selection activeCell="H13" sqref="H13"/>
    </sheetView>
  </sheetViews>
  <sheetFormatPr defaultColWidth="8.7109375" defaultRowHeight="15" x14ac:dyDescent="0.25"/>
  <cols>
    <col min="1" max="9" width="16" customWidth="1"/>
  </cols>
  <sheetData>
    <row r="1" spans="1:9" x14ac:dyDescent="0.25">
      <c r="A1" s="13" t="s">
        <v>22</v>
      </c>
      <c r="B1" s="13" t="s">
        <v>15</v>
      </c>
      <c r="C1" s="13" t="s">
        <v>16</v>
      </c>
      <c r="D1" s="13" t="s">
        <v>17</v>
      </c>
      <c r="E1" s="13" t="s">
        <v>18</v>
      </c>
      <c r="F1" s="13" t="s">
        <v>19</v>
      </c>
      <c r="G1" s="13" t="s">
        <v>20</v>
      </c>
      <c r="H1" s="13" t="s">
        <v>21</v>
      </c>
      <c r="I1" s="13" t="s">
        <v>48</v>
      </c>
    </row>
    <row r="2" spans="1:9" x14ac:dyDescent="0.25">
      <c r="A2" t="s">
        <v>24</v>
      </c>
      <c r="B2" s="6">
        <v>953.14</v>
      </c>
      <c r="C2" s="6">
        <v>4040.03</v>
      </c>
      <c r="D2" s="6">
        <v>3470.48</v>
      </c>
      <c r="E2" s="6">
        <v>3063.67</v>
      </c>
      <c r="F2" s="6">
        <v>4723.17</v>
      </c>
      <c r="G2" s="6">
        <v>6342.42</v>
      </c>
      <c r="H2" s="6">
        <v>1413.3</v>
      </c>
      <c r="I2" s="6">
        <f>SUM(B2:H2)</f>
        <v>24006.21</v>
      </c>
    </row>
    <row r="3" spans="1:9" x14ac:dyDescent="0.25">
      <c r="A3" t="s">
        <v>25</v>
      </c>
      <c r="B3" s="6">
        <v>310.24</v>
      </c>
      <c r="C3" s="6">
        <v>1406.3</v>
      </c>
      <c r="D3" s="6">
        <v>2267.5700000000002</v>
      </c>
      <c r="E3" s="6">
        <v>1852.11</v>
      </c>
      <c r="F3" s="6">
        <v>1999.39</v>
      </c>
      <c r="G3" s="6">
        <v>3258.1</v>
      </c>
      <c r="H3" s="6">
        <v>1367.39</v>
      </c>
      <c r="I3" s="6">
        <f>SUM(B3:H3)</f>
        <v>12461.1</v>
      </c>
    </row>
    <row r="4" spans="1:9" x14ac:dyDescent="0.25">
      <c r="A4" t="s">
        <v>26</v>
      </c>
      <c r="B4" s="6">
        <v>0</v>
      </c>
      <c r="C4" s="6">
        <v>760.11</v>
      </c>
      <c r="D4" s="6">
        <v>515.03</v>
      </c>
      <c r="E4" s="6">
        <v>946.61</v>
      </c>
      <c r="F4" s="6">
        <v>1558.34</v>
      </c>
      <c r="G4" s="6">
        <v>947.72</v>
      </c>
      <c r="H4" s="6">
        <v>338.07</v>
      </c>
      <c r="I4" s="6">
        <f>SUM(B4:H4)</f>
        <v>5065.88</v>
      </c>
    </row>
    <row r="5" spans="1:9" x14ac:dyDescent="0.25">
      <c r="A5" t="s">
        <v>27</v>
      </c>
      <c r="B5" s="6">
        <v>0</v>
      </c>
      <c r="C5" s="6">
        <v>1789.58</v>
      </c>
      <c r="D5" s="6">
        <v>1667.37</v>
      </c>
      <c r="E5" s="6">
        <v>2523.02</v>
      </c>
      <c r="F5" s="6">
        <v>2675.22</v>
      </c>
      <c r="G5" s="6">
        <v>3413.51</v>
      </c>
      <c r="H5" s="6">
        <v>1148.75</v>
      </c>
      <c r="I5" s="6">
        <f>SUM(B5:H5)</f>
        <v>13217.449999999999</v>
      </c>
    </row>
    <row r="6" spans="1:9" x14ac:dyDescent="0.25">
      <c r="A6" t="s">
        <v>28</v>
      </c>
      <c r="B6" s="6">
        <v>673.54</v>
      </c>
      <c r="C6" s="6">
        <v>5457.15</v>
      </c>
      <c r="D6" s="6">
        <v>1976.11</v>
      </c>
      <c r="E6" s="6">
        <v>3228.47</v>
      </c>
      <c r="F6" s="6">
        <v>2186.02</v>
      </c>
      <c r="G6" s="6">
        <v>2079.34</v>
      </c>
      <c r="H6" s="6">
        <v>5510.15</v>
      </c>
      <c r="I6" s="6">
        <f>SUM(B6:H6)</f>
        <v>21110.78</v>
      </c>
    </row>
    <row r="7" spans="1:9" x14ac:dyDescent="0.25">
      <c r="A7" s="8" t="s">
        <v>49</v>
      </c>
      <c r="B7" s="9">
        <f t="shared" ref="B7:I7" si="0">SUM(B2:B6)</f>
        <v>1936.92</v>
      </c>
      <c r="C7" s="9">
        <f t="shared" si="0"/>
        <v>13453.169999999998</v>
      </c>
      <c r="D7" s="9">
        <f t="shared" si="0"/>
        <v>9896.56</v>
      </c>
      <c r="E7" s="9">
        <f t="shared" si="0"/>
        <v>11613.88</v>
      </c>
      <c r="F7" s="9">
        <f t="shared" si="0"/>
        <v>13142.14</v>
      </c>
      <c r="G7" s="9">
        <f t="shared" si="0"/>
        <v>16041.09</v>
      </c>
      <c r="H7" s="9">
        <f t="shared" si="0"/>
        <v>9777.66</v>
      </c>
      <c r="I7" s="9">
        <f t="shared" si="0"/>
        <v>75861.419999999984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"/>
  <sheetViews>
    <sheetView showGridLines="0" zoomScaleNormal="100" workbookViewId="0">
      <selection sqref="A1:E1"/>
    </sheetView>
  </sheetViews>
  <sheetFormatPr defaultColWidth="8.7109375" defaultRowHeight="15" x14ac:dyDescent="0.25"/>
  <cols>
    <col min="1" max="1" width="14" customWidth="1"/>
    <col min="2" max="2" width="34" customWidth="1"/>
    <col min="3" max="3" width="18" customWidth="1"/>
    <col min="4" max="4" width="14" customWidth="1"/>
    <col min="5" max="5" width="16" customWidth="1"/>
  </cols>
  <sheetData>
    <row r="1" spans="1:5" x14ac:dyDescent="0.25">
      <c r="A1" s="1" t="s">
        <v>50</v>
      </c>
      <c r="B1" s="1"/>
      <c r="C1" s="1"/>
      <c r="D1" s="1"/>
      <c r="E1" s="1"/>
    </row>
    <row r="3" spans="1:5" x14ac:dyDescent="0.25">
      <c r="A3" s="5" t="s">
        <v>30</v>
      </c>
      <c r="B3" s="5" t="s">
        <v>31</v>
      </c>
      <c r="C3" s="5" t="s">
        <v>22</v>
      </c>
      <c r="D3" s="5" t="s">
        <v>32</v>
      </c>
      <c r="E3" s="5" t="s">
        <v>51</v>
      </c>
    </row>
    <row r="4" spans="1:5" x14ac:dyDescent="0.25">
      <c r="A4" s="10" t="s">
        <v>33</v>
      </c>
      <c r="B4" s="10" t="s">
        <v>34</v>
      </c>
      <c r="C4" s="10" t="s">
        <v>28</v>
      </c>
      <c r="D4" s="11">
        <v>1993.81</v>
      </c>
      <c r="E4" s="11">
        <v>627.38</v>
      </c>
    </row>
    <row r="5" spans="1:5" x14ac:dyDescent="0.25">
      <c r="A5" s="10" t="s">
        <v>35</v>
      </c>
      <c r="B5" s="10" t="s">
        <v>36</v>
      </c>
      <c r="C5" s="10" t="s">
        <v>28</v>
      </c>
      <c r="D5" s="11">
        <v>1957.65</v>
      </c>
      <c r="E5" s="11">
        <v>627.38</v>
      </c>
    </row>
    <row r="6" spans="1:5" x14ac:dyDescent="0.25">
      <c r="A6" s="10" t="s">
        <v>41</v>
      </c>
      <c r="B6" s="10" t="s">
        <v>42</v>
      </c>
      <c r="C6" s="10" t="s">
        <v>28</v>
      </c>
      <c r="D6" s="11">
        <v>1532.39</v>
      </c>
      <c r="E6" s="11">
        <v>627.38</v>
      </c>
    </row>
    <row r="7" spans="1:5" x14ac:dyDescent="0.25">
      <c r="A7" s="10" t="s">
        <v>38</v>
      </c>
      <c r="B7" s="10" t="s">
        <v>39</v>
      </c>
      <c r="C7" s="10" t="s">
        <v>28</v>
      </c>
      <c r="D7" s="11">
        <v>1641.8</v>
      </c>
      <c r="E7" s="11">
        <v>627.38</v>
      </c>
    </row>
    <row r="8" spans="1:5" x14ac:dyDescent="0.25">
      <c r="A8" s="10" t="s">
        <v>43</v>
      </c>
      <c r="B8" s="10" t="s">
        <v>36</v>
      </c>
      <c r="C8" s="10" t="s">
        <v>28</v>
      </c>
      <c r="D8" s="11">
        <v>1394.98</v>
      </c>
      <c r="E8" s="11">
        <v>627.38</v>
      </c>
    </row>
    <row r="9" spans="1:5" x14ac:dyDescent="0.25">
      <c r="A9" s="10" t="s">
        <v>37</v>
      </c>
      <c r="B9" s="10" t="s">
        <v>34</v>
      </c>
      <c r="C9" s="10" t="s">
        <v>28</v>
      </c>
      <c r="D9" s="11">
        <v>1767.83</v>
      </c>
      <c r="E9" s="11">
        <v>627.38</v>
      </c>
    </row>
    <row r="10" spans="1:5" x14ac:dyDescent="0.25">
      <c r="A10" s="10" t="s">
        <v>40</v>
      </c>
      <c r="B10" s="10" t="s">
        <v>34</v>
      </c>
      <c r="C10" s="10" t="s">
        <v>28</v>
      </c>
      <c r="D10" s="11">
        <v>1598.7</v>
      </c>
      <c r="E10" s="11">
        <v>627.38</v>
      </c>
    </row>
    <row r="11" spans="1:5" x14ac:dyDescent="0.25">
      <c r="A11" s="10" t="s">
        <v>44</v>
      </c>
      <c r="B11" s="10" t="s">
        <v>36</v>
      </c>
      <c r="C11" s="10" t="s">
        <v>28</v>
      </c>
      <c r="D11" s="11">
        <v>1297.1400000000001</v>
      </c>
      <c r="E11" s="11">
        <v>627.38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15"/>
  <sheetViews>
    <sheetView showGridLines="0" zoomScaleNormal="100" workbookViewId="0">
      <selection activeCell="C11" sqref="C11"/>
    </sheetView>
  </sheetViews>
  <sheetFormatPr defaultColWidth="8.7109375" defaultRowHeight="15" x14ac:dyDescent="0.25"/>
  <cols>
    <col min="1" max="1" width="14" customWidth="1"/>
    <col min="2" max="2" width="32" customWidth="1"/>
    <col min="3" max="3" width="18" customWidth="1"/>
    <col min="4" max="4" width="14" customWidth="1"/>
    <col min="5" max="5" width="12" customWidth="1"/>
    <col min="6" max="7" width="16" customWidth="1"/>
  </cols>
  <sheetData>
    <row r="1" spans="1:7" x14ac:dyDescent="0.25">
      <c r="A1" s="5" t="s">
        <v>30</v>
      </c>
      <c r="B1" s="5" t="s">
        <v>31</v>
      </c>
      <c r="C1" s="5" t="s">
        <v>22</v>
      </c>
      <c r="D1" s="5" t="s">
        <v>32</v>
      </c>
      <c r="E1" s="5" t="s">
        <v>52</v>
      </c>
      <c r="F1" s="5" t="s">
        <v>53</v>
      </c>
      <c r="G1" s="5" t="s">
        <v>54</v>
      </c>
    </row>
    <row r="2" spans="1:7" x14ac:dyDescent="0.25">
      <c r="A2" t="s">
        <v>231</v>
      </c>
      <c r="B2" t="s">
        <v>60</v>
      </c>
      <c r="C2" t="s">
        <v>24</v>
      </c>
      <c r="D2" s="6">
        <v>34.93</v>
      </c>
      <c r="E2" s="12" t="s">
        <v>57</v>
      </c>
      <c r="F2" s="6">
        <v>-47126.49</v>
      </c>
      <c r="G2" s="6">
        <v>-47161.42</v>
      </c>
    </row>
    <row r="3" spans="1:7" x14ac:dyDescent="0.25">
      <c r="A3" t="s">
        <v>230</v>
      </c>
      <c r="B3" t="s">
        <v>58</v>
      </c>
      <c r="C3" t="s">
        <v>28</v>
      </c>
      <c r="D3" s="6">
        <v>54.17</v>
      </c>
      <c r="E3" s="12" t="s">
        <v>57</v>
      </c>
      <c r="F3" s="6">
        <v>-47072.32</v>
      </c>
      <c r="G3" s="6">
        <v>-47126.49</v>
      </c>
    </row>
    <row r="4" spans="1:7" x14ac:dyDescent="0.25">
      <c r="A4" t="s">
        <v>230</v>
      </c>
      <c r="B4" t="s">
        <v>60</v>
      </c>
      <c r="C4" t="s">
        <v>24</v>
      </c>
      <c r="D4" s="6">
        <v>279.97000000000003</v>
      </c>
      <c r="E4" s="12" t="s">
        <v>57</v>
      </c>
      <c r="F4" s="6">
        <v>-46792.35</v>
      </c>
      <c r="G4" s="6">
        <v>-47072.32</v>
      </c>
    </row>
    <row r="5" spans="1:7" x14ac:dyDescent="0.25">
      <c r="A5" t="s">
        <v>230</v>
      </c>
      <c r="B5" t="s">
        <v>62</v>
      </c>
      <c r="C5" t="s">
        <v>25</v>
      </c>
      <c r="D5" s="6">
        <v>140.06</v>
      </c>
      <c r="E5" s="12" t="s">
        <v>57</v>
      </c>
      <c r="F5" s="6">
        <v>-46652.29</v>
      </c>
      <c r="G5" s="6">
        <v>-46792.35</v>
      </c>
    </row>
    <row r="6" spans="1:7" x14ac:dyDescent="0.25">
      <c r="A6" t="s">
        <v>44</v>
      </c>
      <c r="B6" t="s">
        <v>75</v>
      </c>
      <c r="C6" t="s">
        <v>25</v>
      </c>
      <c r="D6" s="6">
        <v>178.09</v>
      </c>
      <c r="E6" s="12" t="s">
        <v>57</v>
      </c>
      <c r="F6" s="6">
        <v>-46474.2</v>
      </c>
      <c r="G6" s="6">
        <v>-46652.29</v>
      </c>
    </row>
    <row r="7" spans="1:7" x14ac:dyDescent="0.25">
      <c r="A7" t="s">
        <v>44</v>
      </c>
      <c r="B7" t="s">
        <v>117</v>
      </c>
      <c r="C7" t="s">
        <v>25</v>
      </c>
      <c r="D7" s="6">
        <v>167.95</v>
      </c>
      <c r="E7" s="12" t="s">
        <v>57</v>
      </c>
      <c r="F7" s="6">
        <v>-46306.25</v>
      </c>
      <c r="G7" s="6">
        <v>-46474.2</v>
      </c>
    </row>
    <row r="8" spans="1:7" x14ac:dyDescent="0.25">
      <c r="A8" t="s">
        <v>44</v>
      </c>
      <c r="B8" t="s">
        <v>36</v>
      </c>
      <c r="C8" t="s">
        <v>28</v>
      </c>
      <c r="D8" s="6">
        <v>1297.1400000000001</v>
      </c>
      <c r="E8" s="12" t="s">
        <v>57</v>
      </c>
      <c r="F8" s="6">
        <v>-45009.11</v>
      </c>
      <c r="G8" s="6">
        <v>-46306.25</v>
      </c>
    </row>
    <row r="9" spans="1:7" x14ac:dyDescent="0.25">
      <c r="A9" t="s">
        <v>229</v>
      </c>
      <c r="B9" t="s">
        <v>58</v>
      </c>
      <c r="C9" t="s">
        <v>28</v>
      </c>
      <c r="D9" s="6">
        <v>158.34</v>
      </c>
      <c r="E9" s="12" t="s">
        <v>57</v>
      </c>
      <c r="F9" s="6">
        <v>-44850.77</v>
      </c>
      <c r="G9" s="6">
        <v>-45009.11</v>
      </c>
    </row>
    <row r="10" spans="1:7" x14ac:dyDescent="0.25">
      <c r="A10" t="s">
        <v>229</v>
      </c>
      <c r="B10" t="s">
        <v>92</v>
      </c>
      <c r="C10" t="s">
        <v>27</v>
      </c>
      <c r="D10" s="6">
        <v>214.94</v>
      </c>
      <c r="E10" s="12" t="s">
        <v>57</v>
      </c>
      <c r="F10" s="6">
        <v>-44635.83</v>
      </c>
      <c r="G10" s="6">
        <v>-44850.77</v>
      </c>
    </row>
    <row r="11" spans="1:7" x14ac:dyDescent="0.25">
      <c r="A11" t="s">
        <v>228</v>
      </c>
      <c r="B11" t="s">
        <v>92</v>
      </c>
      <c r="C11" t="s">
        <v>27</v>
      </c>
      <c r="D11" s="6">
        <v>151.31</v>
      </c>
      <c r="E11" s="12" t="s">
        <v>57</v>
      </c>
      <c r="F11" s="6">
        <v>-44484.52</v>
      </c>
      <c r="G11" s="6">
        <v>-44635.83</v>
      </c>
    </row>
    <row r="12" spans="1:7" x14ac:dyDescent="0.25">
      <c r="A12" t="s">
        <v>228</v>
      </c>
      <c r="B12" t="s">
        <v>109</v>
      </c>
      <c r="C12" t="s">
        <v>25</v>
      </c>
      <c r="D12" s="6">
        <v>195.5</v>
      </c>
      <c r="E12" s="12" t="s">
        <v>57</v>
      </c>
      <c r="F12" s="6">
        <v>-44289.02</v>
      </c>
      <c r="G12" s="6">
        <v>-44484.52</v>
      </c>
    </row>
    <row r="13" spans="1:7" x14ac:dyDescent="0.25">
      <c r="A13" t="s">
        <v>227</v>
      </c>
      <c r="B13" t="s">
        <v>94</v>
      </c>
      <c r="C13" t="s">
        <v>28</v>
      </c>
      <c r="D13" s="6">
        <v>296.60000000000002</v>
      </c>
      <c r="E13" s="12" t="s">
        <v>57</v>
      </c>
      <c r="F13" s="6">
        <v>-43992.42</v>
      </c>
      <c r="G13" s="6">
        <v>-44289.02</v>
      </c>
    </row>
    <row r="14" spans="1:7" x14ac:dyDescent="0.25">
      <c r="A14" t="s">
        <v>226</v>
      </c>
      <c r="B14" t="s">
        <v>87</v>
      </c>
      <c r="C14" t="s">
        <v>26</v>
      </c>
      <c r="D14" s="6">
        <v>162.05000000000001</v>
      </c>
      <c r="E14" s="12" t="s">
        <v>57</v>
      </c>
      <c r="F14" s="6">
        <v>-43830.37</v>
      </c>
      <c r="G14" s="6">
        <v>-43992.42</v>
      </c>
    </row>
    <row r="15" spans="1:7" x14ac:dyDescent="0.25">
      <c r="A15" t="s">
        <v>226</v>
      </c>
      <c r="B15" t="s">
        <v>109</v>
      </c>
      <c r="C15" t="s">
        <v>25</v>
      </c>
      <c r="D15" s="6">
        <v>133.84</v>
      </c>
      <c r="E15" s="12" t="s">
        <v>57</v>
      </c>
      <c r="F15" s="6">
        <v>-43696.53</v>
      </c>
      <c r="G15" s="6">
        <v>-43830.37</v>
      </c>
    </row>
    <row r="16" spans="1:7" x14ac:dyDescent="0.25">
      <c r="A16" t="s">
        <v>225</v>
      </c>
      <c r="B16" t="s">
        <v>75</v>
      </c>
      <c r="C16" t="s">
        <v>25</v>
      </c>
      <c r="D16" s="6">
        <v>240.29</v>
      </c>
      <c r="E16" s="12" t="s">
        <v>57</v>
      </c>
      <c r="F16" s="6">
        <v>-43456.24</v>
      </c>
      <c r="G16" s="6">
        <v>-43696.53</v>
      </c>
    </row>
    <row r="17" spans="1:7" x14ac:dyDescent="0.25">
      <c r="A17" t="s">
        <v>224</v>
      </c>
      <c r="B17" t="s">
        <v>121</v>
      </c>
      <c r="C17" t="s">
        <v>27</v>
      </c>
      <c r="D17" s="6">
        <v>132.16999999999999</v>
      </c>
      <c r="E17" s="12" t="s">
        <v>57</v>
      </c>
      <c r="F17" s="6">
        <v>-43324.07</v>
      </c>
      <c r="G17" s="6">
        <v>-43456.24</v>
      </c>
    </row>
    <row r="18" spans="1:7" x14ac:dyDescent="0.25">
      <c r="A18" t="s">
        <v>223</v>
      </c>
      <c r="B18" t="s">
        <v>73</v>
      </c>
      <c r="C18" t="s">
        <v>24</v>
      </c>
      <c r="D18" s="6">
        <v>305.52</v>
      </c>
      <c r="E18" s="12" t="s">
        <v>57</v>
      </c>
      <c r="F18" s="6">
        <v>-43018.55</v>
      </c>
      <c r="G18" s="6">
        <v>-43324.07</v>
      </c>
    </row>
    <row r="19" spans="1:7" x14ac:dyDescent="0.25">
      <c r="A19" t="s">
        <v>222</v>
      </c>
      <c r="B19" t="s">
        <v>68</v>
      </c>
      <c r="C19" t="s">
        <v>26</v>
      </c>
      <c r="D19" s="6">
        <v>127.79</v>
      </c>
      <c r="E19" s="12" t="s">
        <v>57</v>
      </c>
      <c r="F19" s="6">
        <v>-42890.76</v>
      </c>
      <c r="G19" s="6">
        <v>-43018.55</v>
      </c>
    </row>
    <row r="20" spans="1:7" x14ac:dyDescent="0.25">
      <c r="A20" t="s">
        <v>222</v>
      </c>
      <c r="B20" t="s">
        <v>96</v>
      </c>
      <c r="C20" t="s">
        <v>24</v>
      </c>
      <c r="D20" s="6">
        <v>110.89</v>
      </c>
      <c r="E20" s="12" t="s">
        <v>57</v>
      </c>
      <c r="F20" s="6">
        <v>-42779.87</v>
      </c>
      <c r="G20" s="6">
        <v>-42890.76</v>
      </c>
    </row>
    <row r="21" spans="1:7" x14ac:dyDescent="0.25">
      <c r="A21" t="s">
        <v>40</v>
      </c>
      <c r="B21" t="s">
        <v>34</v>
      </c>
      <c r="C21" t="s">
        <v>28</v>
      </c>
      <c r="D21" s="6">
        <v>1598.7</v>
      </c>
      <c r="E21" s="12" t="s">
        <v>57</v>
      </c>
      <c r="F21" s="6">
        <v>-41181.17</v>
      </c>
      <c r="G21" s="6">
        <v>-42779.87</v>
      </c>
    </row>
    <row r="22" spans="1:7" x14ac:dyDescent="0.25">
      <c r="A22" t="s">
        <v>221</v>
      </c>
      <c r="B22" t="s">
        <v>90</v>
      </c>
      <c r="C22" t="s">
        <v>24</v>
      </c>
      <c r="D22" s="6">
        <v>77.150000000000006</v>
      </c>
      <c r="E22" s="12" t="s">
        <v>57</v>
      </c>
      <c r="F22" s="6">
        <v>-41104.019999999997</v>
      </c>
      <c r="G22" s="6">
        <v>-41181.17</v>
      </c>
    </row>
    <row r="23" spans="1:7" x14ac:dyDescent="0.25">
      <c r="A23" t="s">
        <v>220</v>
      </c>
      <c r="B23" t="s">
        <v>82</v>
      </c>
      <c r="C23" t="s">
        <v>24</v>
      </c>
      <c r="D23" s="6">
        <v>312.81</v>
      </c>
      <c r="E23" s="12" t="s">
        <v>57</v>
      </c>
      <c r="F23" s="6">
        <v>-40791.21</v>
      </c>
      <c r="G23" s="6">
        <v>-41104.019999999997</v>
      </c>
    </row>
    <row r="24" spans="1:7" x14ac:dyDescent="0.25">
      <c r="A24" t="s">
        <v>220</v>
      </c>
      <c r="B24" t="s">
        <v>60</v>
      </c>
      <c r="C24" t="s">
        <v>24</v>
      </c>
      <c r="D24" s="6">
        <v>25.88</v>
      </c>
      <c r="E24" s="12" t="s">
        <v>57</v>
      </c>
      <c r="F24" s="6">
        <v>-40765.33</v>
      </c>
      <c r="G24" s="6">
        <v>-40791.21</v>
      </c>
    </row>
    <row r="25" spans="1:7" x14ac:dyDescent="0.25">
      <c r="A25" t="s">
        <v>214</v>
      </c>
      <c r="B25" t="s">
        <v>82</v>
      </c>
      <c r="C25" t="s">
        <v>24</v>
      </c>
      <c r="D25" s="6">
        <v>327.16000000000003</v>
      </c>
      <c r="E25" s="12" t="s">
        <v>57</v>
      </c>
      <c r="F25" s="6">
        <v>-40675.050000000003</v>
      </c>
      <c r="G25" s="6">
        <v>-41002.21</v>
      </c>
    </row>
    <row r="26" spans="1:7" x14ac:dyDescent="0.25">
      <c r="A26" t="s">
        <v>214</v>
      </c>
      <c r="B26" t="s">
        <v>94</v>
      </c>
      <c r="C26" t="s">
        <v>28</v>
      </c>
      <c r="D26" s="6">
        <v>32.42</v>
      </c>
      <c r="E26" s="12" t="s">
        <v>57</v>
      </c>
      <c r="F26" s="6">
        <v>-40642.629999999997</v>
      </c>
      <c r="G26" s="6">
        <v>-40675.050000000003</v>
      </c>
    </row>
    <row r="27" spans="1:7" x14ac:dyDescent="0.25">
      <c r="A27" t="s">
        <v>214</v>
      </c>
      <c r="B27" t="s">
        <v>100</v>
      </c>
      <c r="C27" t="s">
        <v>24</v>
      </c>
      <c r="D27" s="6">
        <v>366.1</v>
      </c>
      <c r="E27" s="12" t="s">
        <v>57</v>
      </c>
      <c r="F27" s="6">
        <v>-40276.53</v>
      </c>
      <c r="G27" s="6">
        <v>-40642.629999999997</v>
      </c>
    </row>
    <row r="28" spans="1:7" x14ac:dyDescent="0.25">
      <c r="A28" t="s">
        <v>213</v>
      </c>
      <c r="B28" t="s">
        <v>105</v>
      </c>
      <c r="C28" t="s">
        <v>27</v>
      </c>
      <c r="D28" s="6">
        <v>533.46</v>
      </c>
      <c r="E28" s="12" t="s">
        <v>57</v>
      </c>
      <c r="F28" s="6">
        <v>-39743.07</v>
      </c>
      <c r="G28" s="6">
        <v>-40276.53</v>
      </c>
    </row>
    <row r="29" spans="1:7" x14ac:dyDescent="0.25">
      <c r="A29" t="s">
        <v>213</v>
      </c>
      <c r="B29" t="s">
        <v>58</v>
      </c>
      <c r="C29" t="s">
        <v>28</v>
      </c>
      <c r="D29" s="6">
        <v>159.80000000000001</v>
      </c>
      <c r="E29" s="12" t="s">
        <v>57</v>
      </c>
      <c r="F29" s="6">
        <v>-39583.269999999997</v>
      </c>
      <c r="G29" s="6">
        <v>-39743.07</v>
      </c>
    </row>
    <row r="30" spans="1:7" x14ac:dyDescent="0.25">
      <c r="A30" t="s">
        <v>212</v>
      </c>
      <c r="B30" t="s">
        <v>68</v>
      </c>
      <c r="C30" t="s">
        <v>26</v>
      </c>
      <c r="D30" s="6">
        <v>72.59</v>
      </c>
      <c r="E30" s="12" t="s">
        <v>57</v>
      </c>
      <c r="F30" s="6">
        <v>-39510.68</v>
      </c>
      <c r="G30" s="6">
        <v>-39583.269999999997</v>
      </c>
    </row>
    <row r="31" spans="1:7" x14ac:dyDescent="0.25">
      <c r="A31" t="s">
        <v>211</v>
      </c>
      <c r="B31" t="s">
        <v>82</v>
      </c>
      <c r="C31" t="s">
        <v>24</v>
      </c>
      <c r="D31" s="6">
        <v>270.97000000000003</v>
      </c>
      <c r="E31" s="12" t="s">
        <v>57</v>
      </c>
      <c r="F31" s="6">
        <v>-39239.71</v>
      </c>
      <c r="G31" s="6">
        <v>-39510.68</v>
      </c>
    </row>
    <row r="32" spans="1:7" x14ac:dyDescent="0.25">
      <c r="A32" t="s">
        <v>37</v>
      </c>
      <c r="B32" t="s">
        <v>34</v>
      </c>
      <c r="C32" t="s">
        <v>28</v>
      </c>
      <c r="D32" s="6">
        <v>1767.83</v>
      </c>
      <c r="E32" s="12" t="s">
        <v>57</v>
      </c>
      <c r="F32" s="6">
        <v>-38997.5</v>
      </c>
      <c r="G32" s="6">
        <v>-40765.33</v>
      </c>
    </row>
    <row r="33" spans="1:7" x14ac:dyDescent="0.25">
      <c r="A33" t="s">
        <v>37</v>
      </c>
      <c r="B33" t="s">
        <v>105</v>
      </c>
      <c r="C33" t="s">
        <v>27</v>
      </c>
      <c r="D33" s="6">
        <v>74.75</v>
      </c>
      <c r="E33" s="12" t="s">
        <v>57</v>
      </c>
      <c r="F33" s="6">
        <v>-38922.75</v>
      </c>
      <c r="G33" s="6">
        <v>-38997.5</v>
      </c>
    </row>
    <row r="34" spans="1:7" x14ac:dyDescent="0.25">
      <c r="A34" t="s">
        <v>211</v>
      </c>
      <c r="B34" t="s">
        <v>100</v>
      </c>
      <c r="C34" t="s">
        <v>24</v>
      </c>
      <c r="D34" s="6">
        <v>367.1</v>
      </c>
      <c r="E34" s="12" t="s">
        <v>57</v>
      </c>
      <c r="F34" s="6">
        <v>-38872.61</v>
      </c>
      <c r="G34" s="6">
        <v>-39239.71</v>
      </c>
    </row>
    <row r="35" spans="1:7" x14ac:dyDescent="0.25">
      <c r="A35" t="s">
        <v>210</v>
      </c>
      <c r="B35" t="s">
        <v>87</v>
      </c>
      <c r="C35" t="s">
        <v>26</v>
      </c>
      <c r="D35" s="6">
        <v>15.67</v>
      </c>
      <c r="E35" s="12" t="s">
        <v>57</v>
      </c>
      <c r="F35" s="6">
        <v>-38856.94</v>
      </c>
      <c r="G35" s="6">
        <v>-38872.61</v>
      </c>
    </row>
    <row r="36" spans="1:7" x14ac:dyDescent="0.25">
      <c r="A36" t="s">
        <v>37</v>
      </c>
      <c r="B36" t="s">
        <v>117</v>
      </c>
      <c r="C36" t="s">
        <v>25</v>
      </c>
      <c r="D36" s="6">
        <v>76.11</v>
      </c>
      <c r="E36" s="12" t="s">
        <v>57</v>
      </c>
      <c r="F36" s="6">
        <v>-38846.639999999999</v>
      </c>
      <c r="G36" s="6">
        <v>-38922.75</v>
      </c>
    </row>
    <row r="37" spans="1:7" x14ac:dyDescent="0.25">
      <c r="A37" t="s">
        <v>210</v>
      </c>
      <c r="B37" t="s">
        <v>58</v>
      </c>
      <c r="C37" t="s">
        <v>28</v>
      </c>
      <c r="D37" s="6">
        <v>324.7</v>
      </c>
      <c r="E37" s="12" t="s">
        <v>57</v>
      </c>
      <c r="F37" s="6">
        <v>-38532.239999999998</v>
      </c>
      <c r="G37" s="6">
        <v>-38856.94</v>
      </c>
    </row>
    <row r="38" spans="1:7" x14ac:dyDescent="0.25">
      <c r="A38" t="s">
        <v>219</v>
      </c>
      <c r="B38" t="s">
        <v>116</v>
      </c>
      <c r="C38" t="s">
        <v>28</v>
      </c>
      <c r="D38" s="6">
        <v>337.37</v>
      </c>
      <c r="E38" s="12" t="s">
        <v>57</v>
      </c>
      <c r="F38" s="6">
        <v>-38509.269999999997</v>
      </c>
      <c r="G38" s="6">
        <v>-38846.639999999999</v>
      </c>
    </row>
    <row r="39" spans="1:7" x14ac:dyDescent="0.25">
      <c r="A39" t="s">
        <v>219</v>
      </c>
      <c r="B39" t="s">
        <v>70</v>
      </c>
      <c r="C39" t="s">
        <v>26</v>
      </c>
      <c r="D39" s="6">
        <v>31.16</v>
      </c>
      <c r="E39" s="12" t="s">
        <v>57</v>
      </c>
      <c r="F39" s="6">
        <v>-38478.11</v>
      </c>
      <c r="G39" s="6">
        <v>-38509.269999999997</v>
      </c>
    </row>
    <row r="40" spans="1:7" x14ac:dyDescent="0.25">
      <c r="A40" t="s">
        <v>219</v>
      </c>
      <c r="B40" t="s">
        <v>72</v>
      </c>
      <c r="C40" t="s">
        <v>24</v>
      </c>
      <c r="D40" s="6">
        <v>266.14999999999998</v>
      </c>
      <c r="E40" s="12" t="s">
        <v>57</v>
      </c>
      <c r="F40" s="6">
        <v>-38211.96</v>
      </c>
      <c r="G40" s="6">
        <v>-38478.11</v>
      </c>
    </row>
    <row r="41" spans="1:7" x14ac:dyDescent="0.25">
      <c r="A41" t="s">
        <v>210</v>
      </c>
      <c r="B41" t="s">
        <v>72</v>
      </c>
      <c r="C41" t="s">
        <v>24</v>
      </c>
      <c r="D41" s="6">
        <v>421.6</v>
      </c>
      <c r="E41" s="12" t="s">
        <v>57</v>
      </c>
      <c r="F41" s="6">
        <v>-38110.639999999999</v>
      </c>
      <c r="G41" s="6">
        <v>-38532.239999999998</v>
      </c>
    </row>
    <row r="42" spans="1:7" x14ac:dyDescent="0.25">
      <c r="A42" t="s">
        <v>218</v>
      </c>
      <c r="B42" t="s">
        <v>85</v>
      </c>
      <c r="C42" t="s">
        <v>25</v>
      </c>
      <c r="D42" s="6">
        <v>235.55</v>
      </c>
      <c r="E42" s="12" t="s">
        <v>57</v>
      </c>
      <c r="F42" s="6">
        <v>-37976.410000000003</v>
      </c>
      <c r="G42" s="6">
        <v>-38211.96</v>
      </c>
    </row>
    <row r="43" spans="1:7" x14ac:dyDescent="0.25">
      <c r="A43" t="s">
        <v>218</v>
      </c>
      <c r="B43" t="s">
        <v>65</v>
      </c>
      <c r="C43" t="s">
        <v>26</v>
      </c>
      <c r="D43" s="6">
        <v>17.07</v>
      </c>
      <c r="E43" s="12" t="s">
        <v>57</v>
      </c>
      <c r="F43" s="6">
        <v>-37959.339999999997</v>
      </c>
      <c r="G43" s="6">
        <v>-37976.410000000003</v>
      </c>
    </row>
    <row r="44" spans="1:7" x14ac:dyDescent="0.25">
      <c r="A44" t="s">
        <v>209</v>
      </c>
      <c r="B44" t="s">
        <v>73</v>
      </c>
      <c r="C44" t="s">
        <v>24</v>
      </c>
      <c r="D44" s="6">
        <v>340.37</v>
      </c>
      <c r="E44" s="12" t="s">
        <v>57</v>
      </c>
      <c r="F44" s="6">
        <v>-37770.269999999997</v>
      </c>
      <c r="G44" s="6">
        <v>-38110.639999999999</v>
      </c>
    </row>
    <row r="45" spans="1:7" x14ac:dyDescent="0.25">
      <c r="A45" t="s">
        <v>217</v>
      </c>
      <c r="B45" t="s">
        <v>92</v>
      </c>
      <c r="C45" t="s">
        <v>27</v>
      </c>
      <c r="D45" s="6">
        <v>475.51</v>
      </c>
      <c r="E45" s="12" t="s">
        <v>57</v>
      </c>
      <c r="F45" s="6">
        <v>-37483.83</v>
      </c>
      <c r="G45" s="6">
        <v>-37959.339999999997</v>
      </c>
    </row>
    <row r="46" spans="1:7" x14ac:dyDescent="0.25">
      <c r="A46" t="s">
        <v>209</v>
      </c>
      <c r="B46" t="s">
        <v>80</v>
      </c>
      <c r="C46" t="s">
        <v>27</v>
      </c>
      <c r="D46" s="6">
        <v>307.66000000000003</v>
      </c>
      <c r="E46" s="12" t="s">
        <v>57</v>
      </c>
      <c r="F46" s="6">
        <v>-37462.61</v>
      </c>
      <c r="G46" s="6">
        <v>-37770.269999999997</v>
      </c>
    </row>
    <row r="47" spans="1:7" x14ac:dyDescent="0.25">
      <c r="A47" t="s">
        <v>216</v>
      </c>
      <c r="B47" t="s">
        <v>105</v>
      </c>
      <c r="C47" t="s">
        <v>27</v>
      </c>
      <c r="D47" s="6">
        <v>100.07</v>
      </c>
      <c r="E47" s="12" t="s">
        <v>57</v>
      </c>
      <c r="F47" s="6">
        <v>-37383.760000000002</v>
      </c>
      <c r="G47" s="6">
        <v>-37483.83</v>
      </c>
    </row>
    <row r="48" spans="1:7" x14ac:dyDescent="0.25">
      <c r="A48" t="s">
        <v>215</v>
      </c>
      <c r="B48" t="s">
        <v>87</v>
      </c>
      <c r="C48" t="s">
        <v>26</v>
      </c>
      <c r="D48" s="6">
        <v>147.05000000000001</v>
      </c>
      <c r="E48" s="12" t="s">
        <v>57</v>
      </c>
      <c r="F48" s="6">
        <v>-37236.71</v>
      </c>
      <c r="G48" s="6">
        <v>-37383.760000000002</v>
      </c>
    </row>
    <row r="49" spans="1:7" x14ac:dyDescent="0.25">
      <c r="A49" t="s">
        <v>209</v>
      </c>
      <c r="B49" t="s">
        <v>117</v>
      </c>
      <c r="C49" t="s">
        <v>25</v>
      </c>
      <c r="D49" s="6">
        <v>232.6</v>
      </c>
      <c r="E49" s="12" t="s">
        <v>57</v>
      </c>
      <c r="F49" s="6">
        <v>-37230.01</v>
      </c>
      <c r="G49" s="6">
        <v>-37462.61</v>
      </c>
    </row>
    <row r="50" spans="1:7" x14ac:dyDescent="0.25">
      <c r="A50" t="s">
        <v>208</v>
      </c>
      <c r="B50" t="s">
        <v>109</v>
      </c>
      <c r="C50" t="s">
        <v>25</v>
      </c>
      <c r="D50" s="6">
        <v>96.61</v>
      </c>
      <c r="E50" s="12" t="s">
        <v>57</v>
      </c>
      <c r="F50" s="6">
        <v>-37133.4</v>
      </c>
      <c r="G50" s="6">
        <v>-37230.01</v>
      </c>
    </row>
    <row r="51" spans="1:7" x14ac:dyDescent="0.25">
      <c r="A51" t="s">
        <v>208</v>
      </c>
      <c r="B51" t="s">
        <v>104</v>
      </c>
      <c r="C51" t="s">
        <v>26</v>
      </c>
      <c r="D51" s="6">
        <v>101.67</v>
      </c>
      <c r="E51" s="12" t="s">
        <v>57</v>
      </c>
      <c r="F51" s="6">
        <v>-37031.730000000003</v>
      </c>
      <c r="G51" s="6">
        <v>-37133.4</v>
      </c>
    </row>
    <row r="52" spans="1:7" x14ac:dyDescent="0.25">
      <c r="A52" t="s">
        <v>215</v>
      </c>
      <c r="B52" t="s">
        <v>96</v>
      </c>
      <c r="C52" t="s">
        <v>24</v>
      </c>
      <c r="D52" s="6">
        <v>434.5</v>
      </c>
      <c r="E52" s="12" t="s">
        <v>57</v>
      </c>
      <c r="F52" s="6">
        <v>-36802.21</v>
      </c>
      <c r="G52" s="6">
        <v>-37236.71</v>
      </c>
    </row>
    <row r="53" spans="1:7" x14ac:dyDescent="0.25">
      <c r="A53" t="s">
        <v>208</v>
      </c>
      <c r="B53" t="s">
        <v>116</v>
      </c>
      <c r="C53" t="s">
        <v>28</v>
      </c>
      <c r="D53" s="6">
        <v>476.38</v>
      </c>
      <c r="E53" s="12" t="s">
        <v>57</v>
      </c>
      <c r="F53" s="6">
        <v>-36555.35</v>
      </c>
      <c r="G53" s="6">
        <v>-37031.730000000003</v>
      </c>
    </row>
    <row r="54" spans="1:7" x14ac:dyDescent="0.25">
      <c r="A54" t="s">
        <v>207</v>
      </c>
      <c r="B54" t="s">
        <v>80</v>
      </c>
      <c r="C54" t="s">
        <v>27</v>
      </c>
      <c r="D54" s="6">
        <v>305.52</v>
      </c>
      <c r="E54" s="12" t="s">
        <v>57</v>
      </c>
      <c r="F54" s="6">
        <v>-36249.83</v>
      </c>
      <c r="G54" s="6">
        <v>-36555.35</v>
      </c>
    </row>
    <row r="55" spans="1:7" x14ac:dyDescent="0.25">
      <c r="A55" t="s">
        <v>207</v>
      </c>
      <c r="B55" t="s">
        <v>90</v>
      </c>
      <c r="C55" t="s">
        <v>24</v>
      </c>
      <c r="D55" s="6">
        <v>120.7</v>
      </c>
      <c r="E55" s="12" t="s">
        <v>57</v>
      </c>
      <c r="F55" s="6">
        <v>-36129.129999999997</v>
      </c>
      <c r="G55" s="6">
        <v>-36249.83</v>
      </c>
    </row>
    <row r="56" spans="1:7" x14ac:dyDescent="0.25">
      <c r="A56" t="s">
        <v>206</v>
      </c>
      <c r="B56" t="s">
        <v>94</v>
      </c>
      <c r="C56" t="s">
        <v>28</v>
      </c>
      <c r="D56" s="6">
        <v>230.79</v>
      </c>
      <c r="E56" s="12" t="s">
        <v>57</v>
      </c>
      <c r="F56" s="6">
        <v>-35898.339999999997</v>
      </c>
      <c r="G56" s="6">
        <v>-36129.129999999997</v>
      </c>
    </row>
    <row r="57" spans="1:7" x14ac:dyDescent="0.25">
      <c r="A57" t="s">
        <v>206</v>
      </c>
      <c r="B57" t="s">
        <v>82</v>
      </c>
      <c r="C57" t="s">
        <v>24</v>
      </c>
      <c r="D57" s="6">
        <v>266.83</v>
      </c>
      <c r="E57" s="12" t="s">
        <v>57</v>
      </c>
      <c r="F57" s="6">
        <v>-35631.51</v>
      </c>
      <c r="G57" s="6">
        <v>-35898.339999999997</v>
      </c>
    </row>
    <row r="58" spans="1:7" x14ac:dyDescent="0.25">
      <c r="A58" t="s">
        <v>206</v>
      </c>
      <c r="B58" t="s">
        <v>65</v>
      </c>
      <c r="C58" t="s">
        <v>26</v>
      </c>
      <c r="D58" s="6">
        <v>137.62</v>
      </c>
      <c r="E58" s="12" t="s">
        <v>57</v>
      </c>
      <c r="F58" s="6">
        <v>-35493.89</v>
      </c>
      <c r="G58" s="6">
        <v>-35631.51</v>
      </c>
    </row>
    <row r="59" spans="1:7" x14ac:dyDescent="0.25">
      <c r="A59" t="s">
        <v>205</v>
      </c>
      <c r="B59" t="s">
        <v>70</v>
      </c>
      <c r="C59" t="s">
        <v>26</v>
      </c>
      <c r="D59" s="6">
        <v>99.43</v>
      </c>
      <c r="E59" s="12" t="s">
        <v>57</v>
      </c>
      <c r="F59" s="6">
        <v>-35394.46</v>
      </c>
      <c r="G59" s="6">
        <v>-35493.89</v>
      </c>
    </row>
    <row r="60" spans="1:7" x14ac:dyDescent="0.25">
      <c r="A60" t="s">
        <v>205</v>
      </c>
      <c r="B60" t="s">
        <v>60</v>
      </c>
      <c r="C60" t="s">
        <v>24</v>
      </c>
      <c r="D60" s="6">
        <v>46.87</v>
      </c>
      <c r="E60" s="12" t="s">
        <v>57</v>
      </c>
      <c r="F60" s="6">
        <v>-35347.589999999997</v>
      </c>
      <c r="G60" s="6">
        <v>-35394.46</v>
      </c>
    </row>
    <row r="61" spans="1:7" x14ac:dyDescent="0.25">
      <c r="A61" t="s">
        <v>204</v>
      </c>
      <c r="B61" t="s">
        <v>117</v>
      </c>
      <c r="C61" t="s">
        <v>25</v>
      </c>
      <c r="D61" s="6">
        <v>117.88</v>
      </c>
      <c r="E61" s="12" t="s">
        <v>57</v>
      </c>
      <c r="F61" s="6">
        <v>-35229.71</v>
      </c>
      <c r="G61" s="6">
        <v>-35347.589999999997</v>
      </c>
    </row>
    <row r="62" spans="1:7" x14ac:dyDescent="0.25">
      <c r="A62" t="s">
        <v>203</v>
      </c>
      <c r="B62" t="s">
        <v>109</v>
      </c>
      <c r="C62" t="s">
        <v>25</v>
      </c>
      <c r="D62" s="6">
        <v>321.94</v>
      </c>
      <c r="E62" s="12" t="s">
        <v>57</v>
      </c>
      <c r="F62" s="6">
        <v>-34907.769999999997</v>
      </c>
      <c r="G62" s="6">
        <v>-35229.71</v>
      </c>
    </row>
    <row r="63" spans="1:7" x14ac:dyDescent="0.25">
      <c r="A63" t="s">
        <v>203</v>
      </c>
      <c r="B63" t="s">
        <v>90</v>
      </c>
      <c r="C63" t="s">
        <v>24</v>
      </c>
      <c r="D63" s="6">
        <v>82.34</v>
      </c>
      <c r="E63" s="12" t="s">
        <v>57</v>
      </c>
      <c r="F63" s="6">
        <v>-34825.43</v>
      </c>
      <c r="G63" s="6">
        <v>-34907.769999999997</v>
      </c>
    </row>
    <row r="64" spans="1:7" x14ac:dyDescent="0.25">
      <c r="A64" t="s">
        <v>203</v>
      </c>
      <c r="B64" t="s">
        <v>121</v>
      </c>
      <c r="C64" t="s">
        <v>27</v>
      </c>
      <c r="D64" s="6">
        <v>331.73</v>
      </c>
      <c r="E64" s="12" t="s">
        <v>57</v>
      </c>
      <c r="F64" s="6">
        <v>-34493.699999999997</v>
      </c>
      <c r="G64" s="6">
        <v>-34825.43</v>
      </c>
    </row>
    <row r="65" spans="1:7" x14ac:dyDescent="0.25">
      <c r="A65" t="s">
        <v>202</v>
      </c>
      <c r="B65" t="s">
        <v>109</v>
      </c>
      <c r="C65" t="s">
        <v>25</v>
      </c>
      <c r="D65" s="6">
        <v>75.23</v>
      </c>
      <c r="E65" s="12" t="s">
        <v>57</v>
      </c>
      <c r="F65" s="6">
        <v>-34418.47</v>
      </c>
      <c r="G65" s="6">
        <v>-34493.699999999997</v>
      </c>
    </row>
    <row r="66" spans="1:7" x14ac:dyDescent="0.25">
      <c r="A66" t="s">
        <v>202</v>
      </c>
      <c r="B66" t="s">
        <v>86</v>
      </c>
      <c r="C66" t="s">
        <v>25</v>
      </c>
      <c r="D66" s="6">
        <v>155.41</v>
      </c>
      <c r="E66" s="12" t="s">
        <v>57</v>
      </c>
      <c r="F66" s="6">
        <v>-34263.06</v>
      </c>
      <c r="G66" s="6">
        <v>-34418.47</v>
      </c>
    </row>
    <row r="67" spans="1:7" x14ac:dyDescent="0.25">
      <c r="A67" t="s">
        <v>202</v>
      </c>
      <c r="B67" t="s">
        <v>100</v>
      </c>
      <c r="C67" t="s">
        <v>24</v>
      </c>
      <c r="D67" s="6">
        <v>420.31</v>
      </c>
      <c r="E67" s="12" t="s">
        <v>57</v>
      </c>
      <c r="F67" s="6">
        <v>-33842.75</v>
      </c>
      <c r="G67" s="6">
        <v>-34263.06</v>
      </c>
    </row>
    <row r="68" spans="1:7" x14ac:dyDescent="0.25">
      <c r="A68" t="s">
        <v>201</v>
      </c>
      <c r="B68" t="s">
        <v>80</v>
      </c>
      <c r="C68" t="s">
        <v>27</v>
      </c>
      <c r="D68" s="6">
        <v>240.25</v>
      </c>
      <c r="E68" s="12" t="s">
        <v>57</v>
      </c>
      <c r="F68" s="6">
        <v>-33602.5</v>
      </c>
      <c r="G68" s="6">
        <v>-33842.75</v>
      </c>
    </row>
    <row r="69" spans="1:7" x14ac:dyDescent="0.25">
      <c r="A69" t="s">
        <v>201</v>
      </c>
      <c r="B69" t="s">
        <v>60</v>
      </c>
      <c r="C69" t="s">
        <v>24</v>
      </c>
      <c r="D69" s="6">
        <v>37.01</v>
      </c>
      <c r="E69" s="12" t="s">
        <v>57</v>
      </c>
      <c r="F69" s="6">
        <v>-33565.49</v>
      </c>
      <c r="G69" s="6">
        <v>-33602.5</v>
      </c>
    </row>
    <row r="70" spans="1:7" x14ac:dyDescent="0.25">
      <c r="A70" t="s">
        <v>201</v>
      </c>
      <c r="B70" t="s">
        <v>75</v>
      </c>
      <c r="C70" t="s">
        <v>25</v>
      </c>
      <c r="D70" s="6">
        <v>315.05</v>
      </c>
      <c r="E70" s="12" t="s">
        <v>57</v>
      </c>
      <c r="F70" s="6">
        <v>-33250.44</v>
      </c>
      <c r="G70" s="6">
        <v>-33565.49</v>
      </c>
    </row>
    <row r="71" spans="1:7" x14ac:dyDescent="0.25">
      <c r="A71" t="s">
        <v>200</v>
      </c>
      <c r="B71" t="s">
        <v>100</v>
      </c>
      <c r="C71" t="s">
        <v>24</v>
      </c>
      <c r="D71" s="6">
        <v>281.08</v>
      </c>
      <c r="E71" s="12" t="s">
        <v>57</v>
      </c>
      <c r="F71" s="6">
        <v>-32969.360000000001</v>
      </c>
      <c r="G71" s="6">
        <v>-33250.44</v>
      </c>
    </row>
    <row r="72" spans="1:7" x14ac:dyDescent="0.25">
      <c r="A72" t="s">
        <v>200</v>
      </c>
      <c r="B72" t="s">
        <v>65</v>
      </c>
      <c r="C72" t="s">
        <v>26</v>
      </c>
      <c r="D72" s="6">
        <v>180.79</v>
      </c>
      <c r="E72" s="12" t="s">
        <v>57</v>
      </c>
      <c r="F72" s="6">
        <v>-32788.57</v>
      </c>
      <c r="G72" s="6">
        <v>-32969.360000000001</v>
      </c>
    </row>
    <row r="73" spans="1:7" x14ac:dyDescent="0.25">
      <c r="A73" t="s">
        <v>199</v>
      </c>
      <c r="B73" t="s">
        <v>73</v>
      </c>
      <c r="C73" t="s">
        <v>24</v>
      </c>
      <c r="D73" s="6">
        <v>436.51</v>
      </c>
      <c r="E73" s="12" t="s">
        <v>57</v>
      </c>
      <c r="F73" s="6">
        <v>-32352.06</v>
      </c>
      <c r="G73" s="6">
        <v>-32788.57</v>
      </c>
    </row>
    <row r="74" spans="1:7" x14ac:dyDescent="0.25">
      <c r="A74" t="s">
        <v>199</v>
      </c>
      <c r="B74" t="s">
        <v>82</v>
      </c>
      <c r="C74" t="s">
        <v>24</v>
      </c>
      <c r="D74" s="6">
        <v>325.13</v>
      </c>
      <c r="E74" s="12" t="s">
        <v>57</v>
      </c>
      <c r="F74" s="6">
        <v>-32026.93</v>
      </c>
      <c r="G74" s="6">
        <v>-32352.06</v>
      </c>
    </row>
    <row r="75" spans="1:7" x14ac:dyDescent="0.25">
      <c r="A75" t="s">
        <v>198</v>
      </c>
      <c r="B75" t="s">
        <v>85</v>
      </c>
      <c r="C75" t="s">
        <v>25</v>
      </c>
      <c r="D75" s="6">
        <v>329.34</v>
      </c>
      <c r="E75" s="12" t="s">
        <v>57</v>
      </c>
      <c r="F75" s="6">
        <v>-31697.59</v>
      </c>
      <c r="G75" s="6">
        <v>-32026.93</v>
      </c>
    </row>
    <row r="76" spans="1:7" x14ac:dyDescent="0.25">
      <c r="A76" t="s">
        <v>198</v>
      </c>
      <c r="B76" t="s">
        <v>100</v>
      </c>
      <c r="C76" t="s">
        <v>24</v>
      </c>
      <c r="D76" s="6">
        <v>339.95</v>
      </c>
      <c r="E76" s="12" t="s">
        <v>57</v>
      </c>
      <c r="F76" s="6">
        <v>-31357.64</v>
      </c>
      <c r="G76" s="6">
        <v>-31697.59</v>
      </c>
    </row>
    <row r="77" spans="1:7" x14ac:dyDescent="0.25">
      <c r="A77" t="s">
        <v>198</v>
      </c>
      <c r="B77" t="s">
        <v>86</v>
      </c>
      <c r="C77" t="s">
        <v>25</v>
      </c>
      <c r="D77" s="6">
        <v>254.61</v>
      </c>
      <c r="E77" s="12" t="s">
        <v>57</v>
      </c>
      <c r="F77" s="6">
        <v>-31103.03</v>
      </c>
      <c r="G77" s="6">
        <v>-31357.64</v>
      </c>
    </row>
    <row r="78" spans="1:7" x14ac:dyDescent="0.25">
      <c r="A78" t="s">
        <v>198</v>
      </c>
      <c r="B78" t="s">
        <v>104</v>
      </c>
      <c r="C78" t="s">
        <v>26</v>
      </c>
      <c r="D78" s="6">
        <v>99.4</v>
      </c>
      <c r="E78" s="12" t="s">
        <v>57</v>
      </c>
      <c r="F78" s="6">
        <v>-31003.63</v>
      </c>
      <c r="G78" s="6">
        <v>-31103.03</v>
      </c>
    </row>
    <row r="79" spans="1:7" x14ac:dyDescent="0.25">
      <c r="A79" t="s">
        <v>185</v>
      </c>
      <c r="B79" t="s">
        <v>186</v>
      </c>
      <c r="C79" t="s">
        <v>28</v>
      </c>
      <c r="D79" s="6">
        <v>245.6</v>
      </c>
      <c r="E79" s="12" t="s">
        <v>57</v>
      </c>
      <c r="F79" s="6">
        <v>-30820.77</v>
      </c>
      <c r="G79" s="6">
        <v>-31066.37</v>
      </c>
    </row>
    <row r="80" spans="1:7" x14ac:dyDescent="0.25">
      <c r="A80" t="s">
        <v>185</v>
      </c>
      <c r="B80" t="s">
        <v>73</v>
      </c>
      <c r="C80" t="s">
        <v>24</v>
      </c>
      <c r="D80" s="6">
        <v>63.66</v>
      </c>
      <c r="E80" s="12" t="s">
        <v>57</v>
      </c>
      <c r="F80" s="6">
        <v>-30757.11</v>
      </c>
      <c r="G80" s="6">
        <v>-30820.77</v>
      </c>
    </row>
    <row r="81" spans="1:7" x14ac:dyDescent="0.25">
      <c r="A81" t="s">
        <v>198</v>
      </c>
      <c r="B81" t="s">
        <v>100</v>
      </c>
      <c r="C81" t="s">
        <v>24</v>
      </c>
      <c r="D81" s="6">
        <v>349.34</v>
      </c>
      <c r="E81" s="12" t="s">
        <v>57</v>
      </c>
      <c r="F81" s="6">
        <v>-30654.29</v>
      </c>
      <c r="G81" s="6">
        <v>-31003.63</v>
      </c>
    </row>
    <row r="82" spans="1:7" x14ac:dyDescent="0.25">
      <c r="A82" t="s">
        <v>197</v>
      </c>
      <c r="B82" t="s">
        <v>61</v>
      </c>
      <c r="C82" t="s">
        <v>24</v>
      </c>
      <c r="D82" s="6">
        <v>70.849999999999994</v>
      </c>
      <c r="E82" s="12" t="s">
        <v>57</v>
      </c>
      <c r="F82" s="6">
        <v>-30583.439999999999</v>
      </c>
      <c r="G82" s="6">
        <v>-30654.29</v>
      </c>
    </row>
    <row r="83" spans="1:7" x14ac:dyDescent="0.25">
      <c r="A83" t="s">
        <v>197</v>
      </c>
      <c r="B83" t="s">
        <v>92</v>
      </c>
      <c r="C83" t="s">
        <v>27</v>
      </c>
      <c r="D83" s="6">
        <v>197.24</v>
      </c>
      <c r="E83" s="12" t="s">
        <v>57</v>
      </c>
      <c r="F83" s="6">
        <v>-30386.2</v>
      </c>
      <c r="G83" s="6">
        <v>-30583.439999999999</v>
      </c>
    </row>
    <row r="84" spans="1:7" x14ac:dyDescent="0.25">
      <c r="A84" t="s">
        <v>185</v>
      </c>
      <c r="B84" t="s">
        <v>121</v>
      </c>
      <c r="C84" t="s">
        <v>27</v>
      </c>
      <c r="D84" s="6">
        <v>529.36</v>
      </c>
      <c r="E84" s="12" t="s">
        <v>57</v>
      </c>
      <c r="F84" s="6">
        <v>-30227.75</v>
      </c>
      <c r="G84" s="6">
        <v>-30757.11</v>
      </c>
    </row>
    <row r="85" spans="1:7" x14ac:dyDescent="0.25">
      <c r="A85" t="s">
        <v>196</v>
      </c>
      <c r="B85" t="s">
        <v>80</v>
      </c>
      <c r="C85" t="s">
        <v>27</v>
      </c>
      <c r="D85" s="6">
        <v>281.14999999999998</v>
      </c>
      <c r="E85" s="12" t="s">
        <v>57</v>
      </c>
      <c r="F85" s="6">
        <v>-30105.05</v>
      </c>
      <c r="G85" s="6">
        <v>-30386.2</v>
      </c>
    </row>
    <row r="86" spans="1:7" x14ac:dyDescent="0.25">
      <c r="A86" t="s">
        <v>195</v>
      </c>
      <c r="B86" t="s">
        <v>46</v>
      </c>
      <c r="C86" t="s">
        <v>27</v>
      </c>
      <c r="D86" s="6">
        <v>202.06</v>
      </c>
      <c r="E86" s="12" t="s">
        <v>57</v>
      </c>
      <c r="F86" s="6">
        <v>-29902.99</v>
      </c>
      <c r="G86" s="6">
        <v>-30105.05</v>
      </c>
    </row>
    <row r="87" spans="1:7" x14ac:dyDescent="0.25">
      <c r="A87" t="s">
        <v>185</v>
      </c>
      <c r="B87" t="s">
        <v>159</v>
      </c>
      <c r="C87" t="s">
        <v>27</v>
      </c>
      <c r="D87" s="6">
        <v>485.08</v>
      </c>
      <c r="E87" s="12" t="s">
        <v>57</v>
      </c>
      <c r="F87" s="6">
        <v>-29742.67</v>
      </c>
      <c r="G87" s="6">
        <v>-30227.75</v>
      </c>
    </row>
    <row r="88" spans="1:7" x14ac:dyDescent="0.25">
      <c r="A88" t="s">
        <v>194</v>
      </c>
      <c r="B88" t="s">
        <v>75</v>
      </c>
      <c r="C88" t="s">
        <v>25</v>
      </c>
      <c r="D88" s="6">
        <v>223.09</v>
      </c>
      <c r="E88" s="12" t="s">
        <v>57</v>
      </c>
      <c r="F88" s="6">
        <v>-29679.9</v>
      </c>
      <c r="G88" s="6">
        <v>-29902.99</v>
      </c>
    </row>
    <row r="89" spans="1:7" x14ac:dyDescent="0.25">
      <c r="A89" t="s">
        <v>184</v>
      </c>
      <c r="B89" t="s">
        <v>70</v>
      </c>
      <c r="C89" t="s">
        <v>26</v>
      </c>
      <c r="D89" s="6">
        <v>63.31</v>
      </c>
      <c r="E89" s="12" t="s">
        <v>57</v>
      </c>
      <c r="F89" s="6">
        <v>-29679.360000000001</v>
      </c>
      <c r="G89" s="6">
        <v>-29742.67</v>
      </c>
    </row>
    <row r="90" spans="1:7" x14ac:dyDescent="0.25">
      <c r="A90" t="s">
        <v>193</v>
      </c>
      <c r="B90" t="s">
        <v>94</v>
      </c>
      <c r="C90" t="s">
        <v>28</v>
      </c>
      <c r="D90" s="6">
        <v>318.86</v>
      </c>
      <c r="E90" s="12" t="s">
        <v>57</v>
      </c>
      <c r="F90" s="6">
        <v>-29361.040000000001</v>
      </c>
      <c r="G90" s="6">
        <v>-29679.9</v>
      </c>
    </row>
    <row r="91" spans="1:7" x14ac:dyDescent="0.25">
      <c r="A91" t="s">
        <v>193</v>
      </c>
      <c r="B91" t="s">
        <v>90</v>
      </c>
      <c r="C91" t="s">
        <v>24</v>
      </c>
      <c r="D91" s="6">
        <v>67.64</v>
      </c>
      <c r="E91" s="12" t="s">
        <v>57</v>
      </c>
      <c r="F91" s="6">
        <v>-29293.4</v>
      </c>
      <c r="G91" s="6">
        <v>-29361.040000000001</v>
      </c>
    </row>
    <row r="92" spans="1:7" x14ac:dyDescent="0.25">
      <c r="A92" t="s">
        <v>184</v>
      </c>
      <c r="B92" t="s">
        <v>60</v>
      </c>
      <c r="C92" t="s">
        <v>24</v>
      </c>
      <c r="D92" s="6">
        <v>440.42</v>
      </c>
      <c r="E92" s="12" t="s">
        <v>57</v>
      </c>
      <c r="F92" s="6">
        <v>-29238.94</v>
      </c>
      <c r="G92" s="6">
        <v>-29679.360000000001</v>
      </c>
    </row>
    <row r="93" spans="1:7" x14ac:dyDescent="0.25">
      <c r="A93" t="s">
        <v>184</v>
      </c>
      <c r="B93" t="s">
        <v>67</v>
      </c>
      <c r="C93" t="s">
        <v>26</v>
      </c>
      <c r="D93" s="6">
        <v>85.11</v>
      </c>
      <c r="E93" s="12" t="s">
        <v>57</v>
      </c>
      <c r="F93" s="6">
        <v>-29153.83</v>
      </c>
      <c r="G93" s="6">
        <v>-29238.94</v>
      </c>
    </row>
    <row r="94" spans="1:7" x14ac:dyDescent="0.25">
      <c r="A94" t="s">
        <v>192</v>
      </c>
      <c r="B94" t="s">
        <v>86</v>
      </c>
      <c r="C94" t="s">
        <v>25</v>
      </c>
      <c r="D94" s="6">
        <v>225.2</v>
      </c>
      <c r="E94" s="12" t="s">
        <v>57</v>
      </c>
      <c r="F94" s="6">
        <v>-29068.2</v>
      </c>
      <c r="G94" s="6">
        <v>-29293.4</v>
      </c>
    </row>
    <row r="95" spans="1:7" x14ac:dyDescent="0.25">
      <c r="A95" t="s">
        <v>191</v>
      </c>
      <c r="B95" t="s">
        <v>75</v>
      </c>
      <c r="C95" t="s">
        <v>25</v>
      </c>
      <c r="D95" s="6">
        <v>241.04</v>
      </c>
      <c r="E95" s="12" t="s">
        <v>57</v>
      </c>
      <c r="F95" s="6">
        <v>-28827.16</v>
      </c>
      <c r="G95" s="6">
        <v>-29068.2</v>
      </c>
    </row>
    <row r="96" spans="1:7" x14ac:dyDescent="0.25">
      <c r="A96" t="s">
        <v>43</v>
      </c>
      <c r="B96" t="s">
        <v>80</v>
      </c>
      <c r="C96" t="s">
        <v>27</v>
      </c>
      <c r="D96" s="6">
        <v>447.14</v>
      </c>
      <c r="E96" s="12" t="s">
        <v>57</v>
      </c>
      <c r="F96" s="6">
        <v>-28706.69</v>
      </c>
      <c r="G96" s="6">
        <v>-29153.83</v>
      </c>
    </row>
    <row r="97" spans="1:7" x14ac:dyDescent="0.25">
      <c r="A97" t="s">
        <v>191</v>
      </c>
      <c r="B97" t="s">
        <v>60</v>
      </c>
      <c r="C97" t="s">
        <v>24</v>
      </c>
      <c r="D97" s="6">
        <v>385.33</v>
      </c>
      <c r="E97" s="12" t="s">
        <v>57</v>
      </c>
      <c r="F97" s="6">
        <v>-28441.83</v>
      </c>
      <c r="G97" s="6">
        <v>-28827.16</v>
      </c>
    </row>
    <row r="98" spans="1:7" x14ac:dyDescent="0.25">
      <c r="A98" t="s">
        <v>43</v>
      </c>
      <c r="B98" t="s">
        <v>82</v>
      </c>
      <c r="C98" t="s">
        <v>24</v>
      </c>
      <c r="D98" s="6">
        <v>391.12</v>
      </c>
      <c r="E98" s="12" t="s">
        <v>57</v>
      </c>
      <c r="F98" s="6">
        <v>-28315.57</v>
      </c>
      <c r="G98" s="6">
        <v>-28706.69</v>
      </c>
    </row>
    <row r="99" spans="1:7" x14ac:dyDescent="0.25">
      <c r="A99" t="s">
        <v>191</v>
      </c>
      <c r="B99" t="s">
        <v>62</v>
      </c>
      <c r="C99" t="s">
        <v>25</v>
      </c>
      <c r="D99" s="6">
        <v>140.97</v>
      </c>
      <c r="E99" s="12" t="s">
        <v>57</v>
      </c>
      <c r="F99" s="6">
        <v>-28300.86</v>
      </c>
      <c r="G99" s="6">
        <v>-28441.83</v>
      </c>
    </row>
    <row r="100" spans="1:7" x14ac:dyDescent="0.25">
      <c r="A100" t="s">
        <v>190</v>
      </c>
      <c r="B100" t="s">
        <v>82</v>
      </c>
      <c r="C100" t="s">
        <v>24</v>
      </c>
      <c r="D100" s="6">
        <v>81.489999999999995</v>
      </c>
      <c r="E100" s="12" t="s">
        <v>57</v>
      </c>
      <c r="F100" s="6">
        <v>-28219.37</v>
      </c>
      <c r="G100" s="6">
        <v>-28300.86</v>
      </c>
    </row>
    <row r="101" spans="1:7" x14ac:dyDescent="0.25">
      <c r="A101" t="s">
        <v>190</v>
      </c>
      <c r="B101" t="s">
        <v>75</v>
      </c>
      <c r="C101" t="s">
        <v>25</v>
      </c>
      <c r="D101" s="6">
        <v>292.39</v>
      </c>
      <c r="E101" s="12" t="s">
        <v>57</v>
      </c>
      <c r="F101" s="6">
        <v>-27926.98</v>
      </c>
      <c r="G101" s="6">
        <v>-28219.37</v>
      </c>
    </row>
    <row r="102" spans="1:7" x14ac:dyDescent="0.25">
      <c r="A102" t="s">
        <v>190</v>
      </c>
      <c r="B102" t="s">
        <v>85</v>
      </c>
      <c r="C102" t="s">
        <v>25</v>
      </c>
      <c r="D102" s="6">
        <v>236.74</v>
      </c>
      <c r="E102" s="12" t="s">
        <v>57</v>
      </c>
      <c r="F102" s="6">
        <v>-27690.240000000002</v>
      </c>
      <c r="G102" s="6">
        <v>-27926.98</v>
      </c>
    </row>
    <row r="103" spans="1:7" x14ac:dyDescent="0.25">
      <c r="A103" t="s">
        <v>189</v>
      </c>
      <c r="B103" t="s">
        <v>61</v>
      </c>
      <c r="C103" t="s">
        <v>24</v>
      </c>
      <c r="D103" s="6">
        <v>39.74</v>
      </c>
      <c r="E103" s="12" t="s">
        <v>57</v>
      </c>
      <c r="F103" s="6">
        <v>-27650.5</v>
      </c>
      <c r="G103" s="6">
        <v>-27690.240000000002</v>
      </c>
    </row>
    <row r="104" spans="1:7" x14ac:dyDescent="0.25">
      <c r="A104" t="s">
        <v>188</v>
      </c>
      <c r="B104" t="s">
        <v>56</v>
      </c>
      <c r="C104" t="s">
        <v>28</v>
      </c>
      <c r="D104" s="6">
        <v>232.18</v>
      </c>
      <c r="E104" s="12" t="s">
        <v>57</v>
      </c>
      <c r="F104" s="6">
        <v>-27418.32</v>
      </c>
      <c r="G104" s="6">
        <v>-27650.5</v>
      </c>
    </row>
    <row r="105" spans="1:7" x14ac:dyDescent="0.25">
      <c r="A105" t="s">
        <v>188</v>
      </c>
      <c r="B105" t="s">
        <v>96</v>
      </c>
      <c r="C105" t="s">
        <v>24</v>
      </c>
      <c r="D105" s="6">
        <v>399.84</v>
      </c>
      <c r="E105" s="12" t="s">
        <v>57</v>
      </c>
      <c r="F105" s="6">
        <v>-27018.48</v>
      </c>
      <c r="G105" s="6">
        <v>-27418.32</v>
      </c>
    </row>
    <row r="106" spans="1:7" x14ac:dyDescent="0.25">
      <c r="A106" t="s">
        <v>187</v>
      </c>
      <c r="B106" t="s">
        <v>58</v>
      </c>
      <c r="C106" t="s">
        <v>28</v>
      </c>
      <c r="D106" s="6">
        <v>58.61</v>
      </c>
      <c r="E106" s="12" t="s">
        <v>57</v>
      </c>
      <c r="F106" s="6">
        <v>-26959.87</v>
      </c>
      <c r="G106" s="6">
        <v>-27018.48</v>
      </c>
    </row>
    <row r="107" spans="1:7" x14ac:dyDescent="0.25">
      <c r="A107" t="s">
        <v>43</v>
      </c>
      <c r="B107" t="s">
        <v>36</v>
      </c>
      <c r="C107" t="s">
        <v>28</v>
      </c>
      <c r="D107" s="6">
        <v>1394.98</v>
      </c>
      <c r="E107" s="12" t="s">
        <v>57</v>
      </c>
      <c r="F107" s="6">
        <v>-26920.59</v>
      </c>
      <c r="G107" s="6">
        <v>-28315.57</v>
      </c>
    </row>
    <row r="108" spans="1:7" x14ac:dyDescent="0.25">
      <c r="A108" t="s">
        <v>185</v>
      </c>
      <c r="B108" t="s">
        <v>67</v>
      </c>
      <c r="C108" t="s">
        <v>26</v>
      </c>
      <c r="D108" s="6">
        <v>93.5</v>
      </c>
      <c r="E108" s="12" t="s">
        <v>57</v>
      </c>
      <c r="F108" s="6">
        <v>-26866.37</v>
      </c>
      <c r="G108" s="6">
        <v>-26959.87</v>
      </c>
    </row>
    <row r="109" spans="1:7" x14ac:dyDescent="0.25">
      <c r="A109" t="s">
        <v>183</v>
      </c>
      <c r="B109" t="s">
        <v>121</v>
      </c>
      <c r="C109" t="s">
        <v>27</v>
      </c>
      <c r="D109" s="6">
        <v>501.27</v>
      </c>
      <c r="E109" s="12" t="s">
        <v>57</v>
      </c>
      <c r="F109" s="6">
        <v>-26419.32</v>
      </c>
      <c r="G109" s="6">
        <v>-26920.59</v>
      </c>
    </row>
    <row r="110" spans="1:7" x14ac:dyDescent="0.25">
      <c r="A110" t="s">
        <v>182</v>
      </c>
      <c r="B110" t="s">
        <v>75</v>
      </c>
      <c r="C110" t="s">
        <v>25</v>
      </c>
      <c r="D110" s="6">
        <v>98.13</v>
      </c>
      <c r="E110" s="12" t="s">
        <v>57</v>
      </c>
      <c r="F110" s="6">
        <v>-26321.19</v>
      </c>
      <c r="G110" s="6">
        <v>-26419.32</v>
      </c>
    </row>
    <row r="111" spans="1:7" x14ac:dyDescent="0.25">
      <c r="A111" t="s">
        <v>182</v>
      </c>
      <c r="B111" t="s">
        <v>61</v>
      </c>
      <c r="C111" t="s">
        <v>24</v>
      </c>
      <c r="D111" s="6">
        <v>130.30000000000001</v>
      </c>
      <c r="E111" s="12" t="s">
        <v>57</v>
      </c>
      <c r="F111" s="6">
        <v>-26190.89</v>
      </c>
      <c r="G111" s="6">
        <v>-26321.19</v>
      </c>
    </row>
    <row r="112" spans="1:7" x14ac:dyDescent="0.25">
      <c r="A112" t="s">
        <v>182</v>
      </c>
      <c r="B112" t="s">
        <v>96</v>
      </c>
      <c r="C112" t="s">
        <v>24</v>
      </c>
      <c r="D112" s="6">
        <v>97.83</v>
      </c>
      <c r="E112" s="12" t="s">
        <v>57</v>
      </c>
      <c r="F112" s="6">
        <v>-26093.06</v>
      </c>
      <c r="G112" s="6">
        <v>-26190.89</v>
      </c>
    </row>
    <row r="113" spans="1:7" x14ac:dyDescent="0.25">
      <c r="A113" t="s">
        <v>181</v>
      </c>
      <c r="B113" t="s">
        <v>67</v>
      </c>
      <c r="C113" t="s">
        <v>26</v>
      </c>
      <c r="D113" s="6">
        <v>152.82</v>
      </c>
      <c r="E113" s="12" t="s">
        <v>57</v>
      </c>
      <c r="F113" s="6">
        <v>-25940.240000000002</v>
      </c>
      <c r="G113" s="6">
        <v>-26093.06</v>
      </c>
    </row>
    <row r="114" spans="1:7" x14ac:dyDescent="0.25">
      <c r="A114" t="s">
        <v>180</v>
      </c>
      <c r="B114" t="s">
        <v>56</v>
      </c>
      <c r="C114" t="s">
        <v>28</v>
      </c>
      <c r="D114" s="6">
        <v>165.96</v>
      </c>
      <c r="E114" s="12" t="s">
        <v>57</v>
      </c>
      <c r="F114" s="6">
        <v>-25774.28</v>
      </c>
      <c r="G114" s="6">
        <v>-25940.240000000002</v>
      </c>
    </row>
    <row r="115" spans="1:7" x14ac:dyDescent="0.25">
      <c r="A115" t="s">
        <v>180</v>
      </c>
      <c r="B115" t="s">
        <v>75</v>
      </c>
      <c r="C115" t="s">
        <v>25</v>
      </c>
      <c r="D115" s="6">
        <v>160.33000000000001</v>
      </c>
      <c r="E115" s="12" t="s">
        <v>57</v>
      </c>
      <c r="F115" s="6">
        <v>-25613.95</v>
      </c>
      <c r="G115" s="6">
        <v>-25774.28</v>
      </c>
    </row>
    <row r="116" spans="1:7" x14ac:dyDescent="0.25">
      <c r="A116" t="s">
        <v>180</v>
      </c>
      <c r="B116" t="s">
        <v>100</v>
      </c>
      <c r="C116" t="s">
        <v>24</v>
      </c>
      <c r="D116" s="6">
        <v>437.42</v>
      </c>
      <c r="E116" s="12" t="s">
        <v>57</v>
      </c>
      <c r="F116" s="6">
        <v>-25176.53</v>
      </c>
      <c r="G116" s="6">
        <v>-25613.95</v>
      </c>
    </row>
    <row r="117" spans="1:7" x14ac:dyDescent="0.25">
      <c r="A117" t="s">
        <v>180</v>
      </c>
      <c r="B117" t="s">
        <v>104</v>
      </c>
      <c r="C117" t="s">
        <v>26</v>
      </c>
      <c r="D117" s="6">
        <v>23.71</v>
      </c>
      <c r="E117" s="12" t="s">
        <v>57</v>
      </c>
      <c r="F117" s="6">
        <v>-25152.82</v>
      </c>
      <c r="G117" s="6">
        <v>-25176.53</v>
      </c>
    </row>
    <row r="118" spans="1:7" x14ac:dyDescent="0.25">
      <c r="A118" t="s">
        <v>179</v>
      </c>
      <c r="B118" t="s">
        <v>86</v>
      </c>
      <c r="C118" t="s">
        <v>25</v>
      </c>
      <c r="D118" s="6">
        <v>190.58</v>
      </c>
      <c r="E118" s="12" t="s">
        <v>57</v>
      </c>
      <c r="F118" s="6">
        <v>-24962.240000000002</v>
      </c>
      <c r="G118" s="6">
        <v>-25152.82</v>
      </c>
    </row>
    <row r="119" spans="1:7" x14ac:dyDescent="0.25">
      <c r="A119" t="s">
        <v>179</v>
      </c>
      <c r="B119" t="s">
        <v>58</v>
      </c>
      <c r="C119" t="s">
        <v>28</v>
      </c>
      <c r="D119" s="6">
        <v>46.02</v>
      </c>
      <c r="E119" s="12" t="s">
        <v>57</v>
      </c>
      <c r="F119" s="6">
        <v>-24916.22</v>
      </c>
      <c r="G119" s="6">
        <v>-24962.240000000002</v>
      </c>
    </row>
    <row r="120" spans="1:7" x14ac:dyDescent="0.25">
      <c r="A120" t="s">
        <v>178</v>
      </c>
      <c r="B120" t="s">
        <v>60</v>
      </c>
      <c r="C120" t="s">
        <v>24</v>
      </c>
      <c r="D120" s="6">
        <v>438.31</v>
      </c>
      <c r="E120" s="12" t="s">
        <v>57</v>
      </c>
      <c r="F120" s="6">
        <v>-24477.91</v>
      </c>
      <c r="G120" s="6">
        <v>-24916.22</v>
      </c>
    </row>
    <row r="121" spans="1:7" x14ac:dyDescent="0.25">
      <c r="A121" t="s">
        <v>178</v>
      </c>
      <c r="B121" t="s">
        <v>87</v>
      </c>
      <c r="C121" t="s">
        <v>26</v>
      </c>
      <c r="D121" s="6">
        <v>40.76</v>
      </c>
      <c r="E121" s="12" t="s">
        <v>57</v>
      </c>
      <c r="F121" s="6">
        <v>-24437.15</v>
      </c>
      <c r="G121" s="6">
        <v>-24477.91</v>
      </c>
    </row>
    <row r="122" spans="1:7" x14ac:dyDescent="0.25">
      <c r="A122" t="s">
        <v>178</v>
      </c>
      <c r="B122" t="s">
        <v>85</v>
      </c>
      <c r="C122" t="s">
        <v>25</v>
      </c>
      <c r="D122" s="6">
        <v>113.76</v>
      </c>
      <c r="E122" s="12" t="s">
        <v>57</v>
      </c>
      <c r="F122" s="6">
        <v>-24323.39</v>
      </c>
      <c r="G122" s="6">
        <v>-24437.15</v>
      </c>
    </row>
    <row r="123" spans="1:7" x14ac:dyDescent="0.25">
      <c r="A123" t="s">
        <v>177</v>
      </c>
      <c r="B123" t="s">
        <v>80</v>
      </c>
      <c r="C123" t="s">
        <v>27</v>
      </c>
      <c r="D123" s="6">
        <v>215.18</v>
      </c>
      <c r="E123" s="12" t="s">
        <v>57</v>
      </c>
      <c r="F123" s="6">
        <v>-24108.21</v>
      </c>
      <c r="G123" s="6">
        <v>-24323.39</v>
      </c>
    </row>
    <row r="124" spans="1:7" x14ac:dyDescent="0.25">
      <c r="A124" t="s">
        <v>177</v>
      </c>
      <c r="B124" t="s">
        <v>72</v>
      </c>
      <c r="C124" t="s">
        <v>24</v>
      </c>
      <c r="D124" s="6">
        <v>85.75</v>
      </c>
      <c r="E124" s="12" t="s">
        <v>57</v>
      </c>
      <c r="F124" s="6">
        <v>-24022.46</v>
      </c>
      <c r="G124" s="6">
        <v>-24108.21</v>
      </c>
    </row>
    <row r="125" spans="1:7" x14ac:dyDescent="0.25">
      <c r="A125" t="s">
        <v>177</v>
      </c>
      <c r="B125" t="s">
        <v>100</v>
      </c>
      <c r="C125" t="s">
        <v>24</v>
      </c>
      <c r="D125" s="6">
        <v>199.01</v>
      </c>
      <c r="E125" s="12" t="s">
        <v>57</v>
      </c>
      <c r="F125" s="6">
        <v>-23823.45</v>
      </c>
      <c r="G125" s="6">
        <v>-24022.46</v>
      </c>
    </row>
    <row r="126" spans="1:7" x14ac:dyDescent="0.25">
      <c r="A126" t="s">
        <v>177</v>
      </c>
      <c r="B126" t="s">
        <v>68</v>
      </c>
      <c r="C126" t="s">
        <v>26</v>
      </c>
      <c r="D126" s="6">
        <v>75.45</v>
      </c>
      <c r="E126" s="12" t="s">
        <v>57</v>
      </c>
      <c r="F126" s="6">
        <v>-23748</v>
      </c>
      <c r="G126" s="6">
        <v>-23823.45</v>
      </c>
    </row>
    <row r="127" spans="1:7" x14ac:dyDescent="0.25">
      <c r="A127" t="s">
        <v>176</v>
      </c>
      <c r="B127" t="s">
        <v>70</v>
      </c>
      <c r="C127" t="s">
        <v>26</v>
      </c>
      <c r="D127" s="6">
        <v>153.09</v>
      </c>
      <c r="E127" s="12" t="s">
        <v>57</v>
      </c>
      <c r="F127" s="6">
        <v>-23594.91</v>
      </c>
      <c r="G127" s="6">
        <v>-23748</v>
      </c>
    </row>
    <row r="128" spans="1:7" x14ac:dyDescent="0.25">
      <c r="A128" t="s">
        <v>175</v>
      </c>
      <c r="B128" t="s">
        <v>117</v>
      </c>
      <c r="C128" t="s">
        <v>25</v>
      </c>
      <c r="D128" s="6">
        <v>287.10000000000002</v>
      </c>
      <c r="E128" s="12" t="s">
        <v>57</v>
      </c>
      <c r="F128" s="6">
        <v>-23307.81</v>
      </c>
      <c r="G128" s="6">
        <v>-23594.91</v>
      </c>
    </row>
    <row r="129" spans="1:7" x14ac:dyDescent="0.25">
      <c r="A129" t="s">
        <v>175</v>
      </c>
      <c r="B129" t="s">
        <v>94</v>
      </c>
      <c r="C129" t="s">
        <v>28</v>
      </c>
      <c r="D129" s="6">
        <v>107.11</v>
      </c>
      <c r="E129" s="12" t="s">
        <v>57</v>
      </c>
      <c r="F129" s="6">
        <v>-23200.7</v>
      </c>
      <c r="G129" s="6">
        <v>-23307.81</v>
      </c>
    </row>
    <row r="130" spans="1:7" x14ac:dyDescent="0.25">
      <c r="A130" t="s">
        <v>174</v>
      </c>
      <c r="B130" t="s">
        <v>80</v>
      </c>
      <c r="C130" t="s">
        <v>27</v>
      </c>
      <c r="D130" s="6">
        <v>147.32</v>
      </c>
      <c r="E130" s="12" t="s">
        <v>57</v>
      </c>
      <c r="F130" s="6">
        <v>-23053.38</v>
      </c>
      <c r="G130" s="6">
        <v>-23200.7</v>
      </c>
    </row>
    <row r="131" spans="1:7" x14ac:dyDescent="0.25">
      <c r="A131" t="s">
        <v>173</v>
      </c>
      <c r="B131" t="s">
        <v>62</v>
      </c>
      <c r="C131" t="s">
        <v>25</v>
      </c>
      <c r="D131" s="6">
        <v>186.77</v>
      </c>
      <c r="E131" s="12" t="s">
        <v>57</v>
      </c>
      <c r="F131" s="6">
        <v>-22866.61</v>
      </c>
      <c r="G131" s="6">
        <v>-23053.38</v>
      </c>
    </row>
    <row r="132" spans="1:7" x14ac:dyDescent="0.25">
      <c r="A132" t="s">
        <v>173</v>
      </c>
      <c r="B132" t="s">
        <v>85</v>
      </c>
      <c r="C132" t="s">
        <v>25</v>
      </c>
      <c r="D132" s="6">
        <v>257.70999999999998</v>
      </c>
      <c r="E132" s="12" t="s">
        <v>57</v>
      </c>
      <c r="F132" s="6">
        <v>-22608.9</v>
      </c>
      <c r="G132" s="6">
        <v>-22866.61</v>
      </c>
    </row>
    <row r="133" spans="1:7" x14ac:dyDescent="0.25">
      <c r="A133" t="s">
        <v>172</v>
      </c>
      <c r="B133" t="s">
        <v>109</v>
      </c>
      <c r="C133" t="s">
        <v>25</v>
      </c>
      <c r="D133" s="6">
        <v>24.22</v>
      </c>
      <c r="E133" s="12" t="s">
        <v>57</v>
      </c>
      <c r="F133" s="6">
        <v>-22584.68</v>
      </c>
      <c r="G133" s="6">
        <v>-22608.9</v>
      </c>
    </row>
    <row r="134" spans="1:7" x14ac:dyDescent="0.25">
      <c r="A134" t="s">
        <v>171</v>
      </c>
      <c r="B134" t="s">
        <v>96</v>
      </c>
      <c r="C134" t="s">
        <v>24</v>
      </c>
      <c r="D134" s="6">
        <v>172.47</v>
      </c>
      <c r="E134" s="12" t="s">
        <v>57</v>
      </c>
      <c r="F134" s="6">
        <v>-22412.21</v>
      </c>
      <c r="G134" s="6">
        <v>-22584.68</v>
      </c>
    </row>
    <row r="135" spans="1:7" x14ac:dyDescent="0.25">
      <c r="A135" t="s">
        <v>170</v>
      </c>
      <c r="B135" t="s">
        <v>100</v>
      </c>
      <c r="C135" t="s">
        <v>24</v>
      </c>
      <c r="D135" s="6">
        <v>34.18</v>
      </c>
      <c r="E135" s="12" t="s">
        <v>57</v>
      </c>
      <c r="F135" s="6">
        <v>-22378.03</v>
      </c>
      <c r="G135" s="6">
        <v>-22412.21</v>
      </c>
    </row>
    <row r="136" spans="1:7" x14ac:dyDescent="0.25">
      <c r="A136" t="s">
        <v>169</v>
      </c>
      <c r="B136" t="s">
        <v>104</v>
      </c>
      <c r="C136" t="s">
        <v>26</v>
      </c>
      <c r="D136" s="6">
        <v>182.11</v>
      </c>
      <c r="E136" s="12" t="s">
        <v>57</v>
      </c>
      <c r="F136" s="6">
        <v>-22195.919999999998</v>
      </c>
      <c r="G136" s="6">
        <v>-22378.03</v>
      </c>
    </row>
    <row r="137" spans="1:7" x14ac:dyDescent="0.25">
      <c r="A137" t="s">
        <v>169</v>
      </c>
      <c r="B137" t="s">
        <v>68</v>
      </c>
      <c r="C137" t="s">
        <v>26</v>
      </c>
      <c r="D137" s="6">
        <v>168.96</v>
      </c>
      <c r="E137" s="12" t="s">
        <v>57</v>
      </c>
      <c r="F137" s="6">
        <v>-22026.959999999999</v>
      </c>
      <c r="G137" s="6">
        <v>-22195.919999999998</v>
      </c>
    </row>
    <row r="138" spans="1:7" x14ac:dyDescent="0.25">
      <c r="A138" t="s">
        <v>169</v>
      </c>
      <c r="B138" t="s">
        <v>65</v>
      </c>
      <c r="C138" t="s">
        <v>26</v>
      </c>
      <c r="D138" s="6">
        <v>152.53</v>
      </c>
      <c r="E138" s="12" t="s">
        <v>57</v>
      </c>
      <c r="F138" s="6">
        <v>-21874.43</v>
      </c>
      <c r="G138" s="6">
        <v>-22026.959999999999</v>
      </c>
    </row>
    <row r="139" spans="1:7" x14ac:dyDescent="0.25">
      <c r="A139" t="s">
        <v>168</v>
      </c>
      <c r="B139" t="s">
        <v>75</v>
      </c>
      <c r="C139" t="s">
        <v>25</v>
      </c>
      <c r="D139" s="6">
        <v>122.5</v>
      </c>
      <c r="E139" s="12" t="s">
        <v>57</v>
      </c>
      <c r="F139" s="6">
        <v>-21751.93</v>
      </c>
      <c r="G139" s="6">
        <v>-21874.43</v>
      </c>
    </row>
    <row r="140" spans="1:7" x14ac:dyDescent="0.25">
      <c r="A140" t="s">
        <v>168</v>
      </c>
      <c r="B140" t="s">
        <v>46</v>
      </c>
      <c r="C140" t="s">
        <v>27</v>
      </c>
      <c r="D140" s="6">
        <v>375.85</v>
      </c>
      <c r="E140" s="12" t="s">
        <v>57</v>
      </c>
      <c r="F140" s="6">
        <v>-21376.080000000002</v>
      </c>
      <c r="G140" s="6">
        <v>-21751.93</v>
      </c>
    </row>
    <row r="141" spans="1:7" x14ac:dyDescent="0.25">
      <c r="A141" t="s">
        <v>167</v>
      </c>
      <c r="B141" t="s">
        <v>90</v>
      </c>
      <c r="C141" t="s">
        <v>24</v>
      </c>
      <c r="D141" s="6">
        <v>390.77</v>
      </c>
      <c r="E141" s="12" t="s">
        <v>57</v>
      </c>
      <c r="F141" s="6">
        <v>-20985.31</v>
      </c>
      <c r="G141" s="6">
        <v>-21376.080000000002</v>
      </c>
    </row>
    <row r="142" spans="1:7" x14ac:dyDescent="0.25">
      <c r="A142" t="s">
        <v>166</v>
      </c>
      <c r="B142" t="s">
        <v>117</v>
      </c>
      <c r="C142" t="s">
        <v>25</v>
      </c>
      <c r="D142" s="6">
        <v>264.82</v>
      </c>
      <c r="E142" s="12" t="s">
        <v>57</v>
      </c>
      <c r="F142" s="6">
        <v>-20720.490000000002</v>
      </c>
      <c r="G142" s="6">
        <v>-20985.31</v>
      </c>
    </row>
    <row r="143" spans="1:7" x14ac:dyDescent="0.25">
      <c r="A143" t="s">
        <v>156</v>
      </c>
      <c r="B143" t="s">
        <v>67</v>
      </c>
      <c r="C143" t="s">
        <v>26</v>
      </c>
      <c r="D143" s="6">
        <v>107.12</v>
      </c>
      <c r="E143" s="12" t="s">
        <v>57</v>
      </c>
      <c r="F143" s="6">
        <v>-20693.41</v>
      </c>
      <c r="G143" s="6">
        <v>-20800.53</v>
      </c>
    </row>
    <row r="144" spans="1:7" x14ac:dyDescent="0.25">
      <c r="A144" t="s">
        <v>156</v>
      </c>
      <c r="B144" t="s">
        <v>100</v>
      </c>
      <c r="C144" t="s">
        <v>24</v>
      </c>
      <c r="D144" s="6">
        <v>83.62</v>
      </c>
      <c r="E144" s="12" t="s">
        <v>57</v>
      </c>
      <c r="F144" s="6">
        <v>-20609.79</v>
      </c>
      <c r="G144" s="6">
        <v>-20693.41</v>
      </c>
    </row>
    <row r="145" spans="1:7" x14ac:dyDescent="0.25">
      <c r="A145" t="s">
        <v>166</v>
      </c>
      <c r="B145" t="s">
        <v>94</v>
      </c>
      <c r="C145" t="s">
        <v>28</v>
      </c>
      <c r="D145" s="6">
        <v>174.11</v>
      </c>
      <c r="E145" s="12" t="s">
        <v>57</v>
      </c>
      <c r="F145" s="6">
        <v>-20546.38</v>
      </c>
      <c r="G145" s="6">
        <v>-20720.490000000002</v>
      </c>
    </row>
    <row r="146" spans="1:7" x14ac:dyDescent="0.25">
      <c r="A146" t="s">
        <v>156</v>
      </c>
      <c r="B146" t="s">
        <v>117</v>
      </c>
      <c r="C146" t="s">
        <v>25</v>
      </c>
      <c r="D146" s="6">
        <v>197.86</v>
      </c>
      <c r="E146" s="12" t="s">
        <v>57</v>
      </c>
      <c r="F146" s="6">
        <v>-20411.93</v>
      </c>
      <c r="G146" s="6">
        <v>-20609.79</v>
      </c>
    </row>
    <row r="147" spans="1:7" x14ac:dyDescent="0.25">
      <c r="A147" t="s">
        <v>166</v>
      </c>
      <c r="B147" t="s">
        <v>159</v>
      </c>
      <c r="C147" t="s">
        <v>27</v>
      </c>
      <c r="D147" s="6">
        <v>353.12</v>
      </c>
      <c r="E147" s="12" t="s">
        <v>57</v>
      </c>
      <c r="F147" s="6">
        <v>-20193.259999999998</v>
      </c>
      <c r="G147" s="6">
        <v>-20546.38</v>
      </c>
    </row>
    <row r="148" spans="1:7" x14ac:dyDescent="0.25">
      <c r="A148" t="s">
        <v>155</v>
      </c>
      <c r="B148" t="s">
        <v>62</v>
      </c>
      <c r="C148" t="s">
        <v>25</v>
      </c>
      <c r="D148" s="6">
        <v>315.63</v>
      </c>
      <c r="E148" s="12" t="s">
        <v>57</v>
      </c>
      <c r="F148" s="6">
        <v>-20096.3</v>
      </c>
      <c r="G148" s="6">
        <v>-20411.93</v>
      </c>
    </row>
    <row r="149" spans="1:7" x14ac:dyDescent="0.25">
      <c r="A149" t="s">
        <v>154</v>
      </c>
      <c r="B149" t="s">
        <v>100</v>
      </c>
      <c r="C149" t="s">
        <v>24</v>
      </c>
      <c r="D149" s="6">
        <v>119.16</v>
      </c>
      <c r="E149" s="12" t="s">
        <v>57</v>
      </c>
      <c r="F149" s="6">
        <v>-19977.14</v>
      </c>
      <c r="G149" s="6">
        <v>-20096.3</v>
      </c>
    </row>
    <row r="150" spans="1:7" x14ac:dyDescent="0.25">
      <c r="A150" t="s">
        <v>165</v>
      </c>
      <c r="B150" t="s">
        <v>117</v>
      </c>
      <c r="C150" t="s">
        <v>25</v>
      </c>
      <c r="D150" s="6">
        <v>293.47000000000003</v>
      </c>
      <c r="E150" s="12" t="s">
        <v>57</v>
      </c>
      <c r="F150" s="6">
        <v>-19899.79</v>
      </c>
      <c r="G150" s="6">
        <v>-20193.259999999998</v>
      </c>
    </row>
    <row r="151" spans="1:7" x14ac:dyDescent="0.25">
      <c r="A151" t="s">
        <v>154</v>
      </c>
      <c r="B151" t="s">
        <v>87</v>
      </c>
      <c r="C151" t="s">
        <v>26</v>
      </c>
      <c r="D151" s="6">
        <v>179.62</v>
      </c>
      <c r="E151" s="12" t="s">
        <v>57</v>
      </c>
      <c r="F151" s="6">
        <v>-19797.52</v>
      </c>
      <c r="G151" s="6">
        <v>-19977.14</v>
      </c>
    </row>
    <row r="152" spans="1:7" x14ac:dyDescent="0.25">
      <c r="A152" t="s">
        <v>165</v>
      </c>
      <c r="B152" t="s">
        <v>94</v>
      </c>
      <c r="C152" t="s">
        <v>28</v>
      </c>
      <c r="D152" s="6">
        <v>260.23</v>
      </c>
      <c r="E152" s="12" t="s">
        <v>57</v>
      </c>
      <c r="F152" s="6">
        <v>-19639.560000000001</v>
      </c>
      <c r="G152" s="6">
        <v>-19899.79</v>
      </c>
    </row>
    <row r="153" spans="1:7" x14ac:dyDescent="0.25">
      <c r="A153" t="s">
        <v>154</v>
      </c>
      <c r="B153" t="s">
        <v>92</v>
      </c>
      <c r="C153" t="s">
        <v>27</v>
      </c>
      <c r="D153" s="6">
        <v>212.76</v>
      </c>
      <c r="E153" s="12" t="s">
        <v>57</v>
      </c>
      <c r="F153" s="6">
        <v>-19584.759999999998</v>
      </c>
      <c r="G153" s="6">
        <v>-19797.52</v>
      </c>
    </row>
    <row r="154" spans="1:7" x14ac:dyDescent="0.25">
      <c r="A154" t="s">
        <v>164</v>
      </c>
      <c r="B154" t="s">
        <v>72</v>
      </c>
      <c r="C154" t="s">
        <v>24</v>
      </c>
      <c r="D154" s="6">
        <v>205.57</v>
      </c>
      <c r="E154" s="12" t="s">
        <v>57</v>
      </c>
      <c r="F154" s="6">
        <v>-19433.990000000002</v>
      </c>
      <c r="G154" s="6">
        <v>-19639.560000000001</v>
      </c>
    </row>
    <row r="155" spans="1:7" x14ac:dyDescent="0.25">
      <c r="A155" t="s">
        <v>164</v>
      </c>
      <c r="B155" t="s">
        <v>116</v>
      </c>
      <c r="C155" t="s">
        <v>28</v>
      </c>
      <c r="D155" s="6">
        <v>37.61</v>
      </c>
      <c r="E155" s="12" t="s">
        <v>57</v>
      </c>
      <c r="F155" s="6">
        <v>-19396.38</v>
      </c>
      <c r="G155" s="6">
        <v>-19433.990000000002</v>
      </c>
    </row>
    <row r="156" spans="1:7" x14ac:dyDescent="0.25">
      <c r="A156" t="s">
        <v>153</v>
      </c>
      <c r="B156" t="s">
        <v>80</v>
      </c>
      <c r="C156" t="s">
        <v>27</v>
      </c>
      <c r="D156" s="6">
        <v>233.89</v>
      </c>
      <c r="E156" s="12" t="s">
        <v>57</v>
      </c>
      <c r="F156" s="6">
        <v>-19350.87</v>
      </c>
      <c r="G156" s="6">
        <v>-19584.759999999998</v>
      </c>
    </row>
    <row r="157" spans="1:7" x14ac:dyDescent="0.25">
      <c r="A157" t="s">
        <v>164</v>
      </c>
      <c r="B157" t="s">
        <v>159</v>
      </c>
      <c r="C157" t="s">
        <v>27</v>
      </c>
      <c r="D157" s="6">
        <v>86.12</v>
      </c>
      <c r="E157" s="12" t="s">
        <v>57</v>
      </c>
      <c r="F157" s="6">
        <v>-19310.259999999998</v>
      </c>
      <c r="G157" s="6">
        <v>-19396.38</v>
      </c>
    </row>
    <row r="158" spans="1:7" x14ac:dyDescent="0.25">
      <c r="A158" t="s">
        <v>153</v>
      </c>
      <c r="B158" t="s">
        <v>82</v>
      </c>
      <c r="C158" t="s">
        <v>24</v>
      </c>
      <c r="D158" s="6">
        <v>306.52999999999997</v>
      </c>
      <c r="E158" s="12" t="s">
        <v>57</v>
      </c>
      <c r="F158" s="6">
        <v>-19044.34</v>
      </c>
      <c r="G158" s="6">
        <v>-19350.87</v>
      </c>
    </row>
    <row r="159" spans="1:7" x14ac:dyDescent="0.25">
      <c r="A159" t="s">
        <v>163</v>
      </c>
      <c r="B159" t="s">
        <v>61</v>
      </c>
      <c r="C159" t="s">
        <v>24</v>
      </c>
      <c r="D159" s="6">
        <v>307.19</v>
      </c>
      <c r="E159" s="12" t="s">
        <v>57</v>
      </c>
      <c r="F159" s="6">
        <v>-19003.07</v>
      </c>
      <c r="G159" s="6">
        <v>-19310.259999999998</v>
      </c>
    </row>
    <row r="160" spans="1:7" x14ac:dyDescent="0.25">
      <c r="A160" t="s">
        <v>153</v>
      </c>
      <c r="B160" t="s">
        <v>68</v>
      </c>
      <c r="C160" t="s">
        <v>26</v>
      </c>
      <c r="D160" s="6">
        <v>153.65</v>
      </c>
      <c r="E160" s="12" t="s">
        <v>57</v>
      </c>
      <c r="F160" s="6">
        <v>-18890.689999999999</v>
      </c>
      <c r="G160" s="6">
        <v>-19044.34</v>
      </c>
    </row>
    <row r="161" spans="1:7" x14ac:dyDescent="0.25">
      <c r="A161" t="s">
        <v>162</v>
      </c>
      <c r="B161" t="s">
        <v>65</v>
      </c>
      <c r="C161" t="s">
        <v>26</v>
      </c>
      <c r="D161" s="6">
        <v>118.11</v>
      </c>
      <c r="E161" s="12" t="s">
        <v>57</v>
      </c>
      <c r="F161" s="6">
        <v>-18884.96</v>
      </c>
      <c r="G161" s="6">
        <v>-19003.07</v>
      </c>
    </row>
    <row r="162" spans="1:7" x14ac:dyDescent="0.25">
      <c r="A162" t="s">
        <v>152</v>
      </c>
      <c r="B162" t="s">
        <v>60</v>
      </c>
      <c r="C162" t="s">
        <v>24</v>
      </c>
      <c r="D162" s="6">
        <v>397.48</v>
      </c>
      <c r="E162" s="12" t="s">
        <v>57</v>
      </c>
      <c r="F162" s="6">
        <v>-18493.21</v>
      </c>
      <c r="G162" s="6">
        <v>-18890.689999999999</v>
      </c>
    </row>
    <row r="163" spans="1:7" x14ac:dyDescent="0.25">
      <c r="A163" t="s">
        <v>161</v>
      </c>
      <c r="B163" t="s">
        <v>100</v>
      </c>
      <c r="C163" t="s">
        <v>24</v>
      </c>
      <c r="D163" s="6">
        <v>418.04</v>
      </c>
      <c r="E163" s="12" t="s">
        <v>57</v>
      </c>
      <c r="F163" s="6">
        <v>-18466.919999999998</v>
      </c>
      <c r="G163" s="6">
        <v>-18884.96</v>
      </c>
    </row>
    <row r="164" spans="1:7" x14ac:dyDescent="0.25">
      <c r="A164" t="s">
        <v>151</v>
      </c>
      <c r="B164" t="s">
        <v>65</v>
      </c>
      <c r="C164" t="s">
        <v>26</v>
      </c>
      <c r="D164" s="6">
        <v>92.54</v>
      </c>
      <c r="E164" s="12" t="s">
        <v>57</v>
      </c>
      <c r="F164" s="6">
        <v>-18400.669999999998</v>
      </c>
      <c r="G164" s="6">
        <v>-18493.21</v>
      </c>
    </row>
    <row r="165" spans="1:7" x14ac:dyDescent="0.25">
      <c r="A165" t="s">
        <v>150</v>
      </c>
      <c r="B165" t="s">
        <v>67</v>
      </c>
      <c r="C165" t="s">
        <v>26</v>
      </c>
      <c r="D165" s="6">
        <v>171.72</v>
      </c>
      <c r="E165" s="12" t="s">
        <v>57</v>
      </c>
      <c r="F165" s="6">
        <v>-18228.95</v>
      </c>
      <c r="G165" s="6">
        <v>-18400.669999999998</v>
      </c>
    </row>
    <row r="166" spans="1:7" x14ac:dyDescent="0.25">
      <c r="A166" t="s">
        <v>160</v>
      </c>
      <c r="B166" t="s">
        <v>96</v>
      </c>
      <c r="C166" t="s">
        <v>24</v>
      </c>
      <c r="D166" s="6">
        <v>274.20999999999998</v>
      </c>
      <c r="E166" s="12" t="s">
        <v>57</v>
      </c>
      <c r="F166" s="6">
        <v>-18192.71</v>
      </c>
      <c r="G166" s="6">
        <v>-18466.919999999998</v>
      </c>
    </row>
    <row r="167" spans="1:7" x14ac:dyDescent="0.25">
      <c r="A167" t="s">
        <v>150</v>
      </c>
      <c r="B167" t="s">
        <v>100</v>
      </c>
      <c r="C167" t="s">
        <v>24</v>
      </c>
      <c r="D167" s="6">
        <v>82.63</v>
      </c>
      <c r="E167" s="12" t="s">
        <v>57</v>
      </c>
      <c r="F167" s="6">
        <v>-18146.32</v>
      </c>
      <c r="G167" s="6">
        <v>-18228.95</v>
      </c>
    </row>
    <row r="168" spans="1:7" x14ac:dyDescent="0.25">
      <c r="A168" t="s">
        <v>150</v>
      </c>
      <c r="B168" t="s">
        <v>60</v>
      </c>
      <c r="C168" t="s">
        <v>24</v>
      </c>
      <c r="D168" s="6">
        <v>142.66999999999999</v>
      </c>
      <c r="E168" s="12" t="s">
        <v>57</v>
      </c>
      <c r="F168" s="6">
        <v>-18003.650000000001</v>
      </c>
      <c r="G168" s="6">
        <v>-18146.32</v>
      </c>
    </row>
    <row r="169" spans="1:7" x14ac:dyDescent="0.25">
      <c r="A169" t="s">
        <v>149</v>
      </c>
      <c r="B169" t="s">
        <v>60</v>
      </c>
      <c r="C169" t="s">
        <v>24</v>
      </c>
      <c r="D169" s="6">
        <v>123.17</v>
      </c>
      <c r="E169" s="12" t="s">
        <v>57</v>
      </c>
      <c r="F169" s="6">
        <v>-17880.48</v>
      </c>
      <c r="G169" s="6">
        <v>-18003.650000000001</v>
      </c>
    </row>
    <row r="170" spans="1:7" x14ac:dyDescent="0.25">
      <c r="A170" t="s">
        <v>158</v>
      </c>
      <c r="B170" t="s">
        <v>159</v>
      </c>
      <c r="C170" t="s">
        <v>27</v>
      </c>
      <c r="D170" s="6">
        <v>549.22</v>
      </c>
      <c r="E170" s="12" t="s">
        <v>57</v>
      </c>
      <c r="F170" s="6">
        <v>-17643.490000000002</v>
      </c>
      <c r="G170" s="6">
        <v>-18192.71</v>
      </c>
    </row>
    <row r="171" spans="1:7" x14ac:dyDescent="0.25">
      <c r="A171" t="s">
        <v>149</v>
      </c>
      <c r="B171" t="s">
        <v>121</v>
      </c>
      <c r="C171" t="s">
        <v>27</v>
      </c>
      <c r="D171" s="6">
        <v>319.33999999999997</v>
      </c>
      <c r="E171" s="12" t="s">
        <v>57</v>
      </c>
      <c r="F171" s="6">
        <v>-17561.14</v>
      </c>
      <c r="G171" s="6">
        <v>-17880.48</v>
      </c>
    </row>
    <row r="172" spans="1:7" x14ac:dyDescent="0.25">
      <c r="A172" t="s">
        <v>149</v>
      </c>
      <c r="B172" t="s">
        <v>60</v>
      </c>
      <c r="C172" t="s">
        <v>24</v>
      </c>
      <c r="D172" s="6">
        <v>55.34</v>
      </c>
      <c r="E172" s="12" t="s">
        <v>57</v>
      </c>
      <c r="F172" s="6">
        <v>-17505.8</v>
      </c>
      <c r="G172" s="6">
        <v>-17561.14</v>
      </c>
    </row>
    <row r="173" spans="1:7" x14ac:dyDescent="0.25">
      <c r="A173" t="s">
        <v>148</v>
      </c>
      <c r="B173" t="s">
        <v>75</v>
      </c>
      <c r="C173" t="s">
        <v>25</v>
      </c>
      <c r="D173" s="6">
        <v>282.76</v>
      </c>
      <c r="E173" s="12" t="s">
        <v>57</v>
      </c>
      <c r="F173" s="6">
        <v>-17223.04</v>
      </c>
      <c r="G173" s="6">
        <v>-17505.8</v>
      </c>
    </row>
    <row r="174" spans="1:7" x14ac:dyDescent="0.25">
      <c r="A174" t="s">
        <v>158</v>
      </c>
      <c r="B174" t="s">
        <v>100</v>
      </c>
      <c r="C174" t="s">
        <v>24</v>
      </c>
      <c r="D174" s="6">
        <v>445.44</v>
      </c>
      <c r="E174" s="12" t="s">
        <v>57</v>
      </c>
      <c r="F174" s="6">
        <v>-17198.05</v>
      </c>
      <c r="G174" s="6">
        <v>-17643.490000000002</v>
      </c>
    </row>
    <row r="175" spans="1:7" x14ac:dyDescent="0.25">
      <c r="A175" t="s">
        <v>158</v>
      </c>
      <c r="B175" t="s">
        <v>68</v>
      </c>
      <c r="C175" t="s">
        <v>26</v>
      </c>
      <c r="D175" s="6">
        <v>153.38</v>
      </c>
      <c r="E175" s="12" t="s">
        <v>57</v>
      </c>
      <c r="F175" s="6">
        <v>-17044.669999999998</v>
      </c>
      <c r="G175" s="6">
        <v>-17198.05</v>
      </c>
    </row>
    <row r="176" spans="1:7" x14ac:dyDescent="0.25">
      <c r="A176" t="s">
        <v>148</v>
      </c>
      <c r="B176" t="s">
        <v>62</v>
      </c>
      <c r="C176" t="s">
        <v>25</v>
      </c>
      <c r="D176" s="6">
        <v>288.26</v>
      </c>
      <c r="E176" s="12" t="s">
        <v>57</v>
      </c>
      <c r="F176" s="6">
        <v>-16934.78</v>
      </c>
      <c r="G176" s="6">
        <v>-17223.04</v>
      </c>
    </row>
    <row r="177" spans="1:7" x14ac:dyDescent="0.25">
      <c r="A177" t="s">
        <v>157</v>
      </c>
      <c r="B177" t="s">
        <v>104</v>
      </c>
      <c r="C177" t="s">
        <v>26</v>
      </c>
      <c r="D177" s="6">
        <v>189</v>
      </c>
      <c r="E177" s="12" t="s">
        <v>57</v>
      </c>
      <c r="F177" s="6">
        <v>-16855.669999999998</v>
      </c>
      <c r="G177" s="6">
        <v>-17044.669999999998</v>
      </c>
    </row>
    <row r="178" spans="1:7" x14ac:dyDescent="0.25">
      <c r="A178" t="s">
        <v>148</v>
      </c>
      <c r="B178" t="s">
        <v>61</v>
      </c>
      <c r="C178" t="s">
        <v>24</v>
      </c>
      <c r="D178" s="6">
        <v>292.14</v>
      </c>
      <c r="E178" s="12" t="s">
        <v>57</v>
      </c>
      <c r="F178" s="6">
        <v>-16642.64</v>
      </c>
      <c r="G178" s="6">
        <v>-16934.78</v>
      </c>
    </row>
    <row r="179" spans="1:7" x14ac:dyDescent="0.25">
      <c r="A179" t="s">
        <v>157</v>
      </c>
      <c r="B179" t="s">
        <v>60</v>
      </c>
      <c r="C179" t="s">
        <v>24</v>
      </c>
      <c r="D179" s="6">
        <v>255.14</v>
      </c>
      <c r="E179" s="12" t="s">
        <v>57</v>
      </c>
      <c r="F179" s="6">
        <v>-16600.53</v>
      </c>
      <c r="G179" s="6">
        <v>-16855.669999999998</v>
      </c>
    </row>
    <row r="180" spans="1:7" x14ac:dyDescent="0.25">
      <c r="A180" t="s">
        <v>147</v>
      </c>
      <c r="B180" t="s">
        <v>75</v>
      </c>
      <c r="C180" t="s">
        <v>25</v>
      </c>
      <c r="D180" s="6">
        <v>247.05</v>
      </c>
      <c r="E180" s="12" t="s">
        <v>57</v>
      </c>
      <c r="F180" s="6">
        <v>-16395.59</v>
      </c>
      <c r="G180" s="6">
        <v>-16642.64</v>
      </c>
    </row>
    <row r="181" spans="1:7" x14ac:dyDescent="0.25">
      <c r="A181" t="s">
        <v>147</v>
      </c>
      <c r="B181" t="s">
        <v>92</v>
      </c>
      <c r="C181" t="s">
        <v>27</v>
      </c>
      <c r="D181" s="6">
        <v>315.58999999999997</v>
      </c>
      <c r="E181" s="12" t="s">
        <v>57</v>
      </c>
      <c r="F181" s="6">
        <v>-16080</v>
      </c>
      <c r="G181" s="6">
        <v>-16395.59</v>
      </c>
    </row>
    <row r="182" spans="1:7" x14ac:dyDescent="0.25">
      <c r="A182" t="s">
        <v>146</v>
      </c>
      <c r="B182" t="s">
        <v>117</v>
      </c>
      <c r="C182" t="s">
        <v>25</v>
      </c>
      <c r="D182" s="6">
        <v>37.4</v>
      </c>
      <c r="E182" s="12" t="s">
        <v>57</v>
      </c>
      <c r="F182" s="6">
        <v>-16042.6</v>
      </c>
      <c r="G182" s="6">
        <v>-16080</v>
      </c>
    </row>
    <row r="183" spans="1:7" x14ac:dyDescent="0.25">
      <c r="A183" t="s">
        <v>145</v>
      </c>
      <c r="B183" t="s">
        <v>75</v>
      </c>
      <c r="C183" t="s">
        <v>25</v>
      </c>
      <c r="D183" s="6">
        <v>216.11</v>
      </c>
      <c r="E183" s="12" t="s">
        <v>57</v>
      </c>
      <c r="F183" s="6">
        <v>-15826.49</v>
      </c>
      <c r="G183" s="6">
        <v>-16042.6</v>
      </c>
    </row>
    <row r="184" spans="1:7" x14ac:dyDescent="0.25">
      <c r="A184" t="s">
        <v>145</v>
      </c>
      <c r="B184" t="s">
        <v>121</v>
      </c>
      <c r="C184" t="s">
        <v>27</v>
      </c>
      <c r="D184" s="6">
        <v>457.3</v>
      </c>
      <c r="E184" s="12" t="s">
        <v>57</v>
      </c>
      <c r="F184" s="6">
        <v>-15369.19</v>
      </c>
      <c r="G184" s="6">
        <v>-15826.49</v>
      </c>
    </row>
    <row r="185" spans="1:7" x14ac:dyDescent="0.25">
      <c r="A185" t="s">
        <v>145</v>
      </c>
      <c r="B185" t="s">
        <v>96</v>
      </c>
      <c r="C185" t="s">
        <v>24</v>
      </c>
      <c r="D185" s="6">
        <v>131.47</v>
      </c>
      <c r="E185" s="12" t="s">
        <v>57</v>
      </c>
      <c r="F185" s="6">
        <v>-15237.72</v>
      </c>
      <c r="G185" s="6">
        <v>-15369.19</v>
      </c>
    </row>
    <row r="186" spans="1:7" x14ac:dyDescent="0.25">
      <c r="A186" t="s">
        <v>38</v>
      </c>
      <c r="B186" t="s">
        <v>39</v>
      </c>
      <c r="C186" t="s">
        <v>28</v>
      </c>
      <c r="D186" s="6">
        <v>1641.8</v>
      </c>
      <c r="E186" s="12" t="s">
        <v>57</v>
      </c>
      <c r="F186" s="6">
        <v>-13595.92</v>
      </c>
      <c r="G186" s="6">
        <v>-15237.72</v>
      </c>
    </row>
    <row r="187" spans="1:7" x14ac:dyDescent="0.25">
      <c r="A187" t="s">
        <v>135</v>
      </c>
      <c r="B187" t="s">
        <v>73</v>
      </c>
      <c r="C187" t="s">
        <v>24</v>
      </c>
      <c r="D187" s="6">
        <v>55.15</v>
      </c>
      <c r="E187" s="12" t="s">
        <v>57</v>
      </c>
      <c r="F187" s="6">
        <v>-13386.65</v>
      </c>
      <c r="G187" s="6">
        <v>-13441.8</v>
      </c>
    </row>
    <row r="188" spans="1:7" x14ac:dyDescent="0.25">
      <c r="A188" t="s">
        <v>134</v>
      </c>
      <c r="B188" t="s">
        <v>86</v>
      </c>
      <c r="C188" t="s">
        <v>25</v>
      </c>
      <c r="D188" s="6">
        <v>104.29</v>
      </c>
      <c r="E188" s="12" t="s">
        <v>57</v>
      </c>
      <c r="F188" s="6">
        <v>-13282.36</v>
      </c>
      <c r="G188" s="6">
        <v>-13386.65</v>
      </c>
    </row>
    <row r="189" spans="1:7" x14ac:dyDescent="0.25">
      <c r="A189" t="s">
        <v>134</v>
      </c>
      <c r="B189" t="s">
        <v>85</v>
      </c>
      <c r="C189" t="s">
        <v>25</v>
      </c>
      <c r="D189" s="6">
        <v>64.13</v>
      </c>
      <c r="E189" s="12" t="s">
        <v>57</v>
      </c>
      <c r="F189" s="6">
        <v>-13218.23</v>
      </c>
      <c r="G189" s="6">
        <v>-13282.36</v>
      </c>
    </row>
    <row r="190" spans="1:7" x14ac:dyDescent="0.25">
      <c r="A190" t="s">
        <v>144</v>
      </c>
      <c r="B190" t="s">
        <v>46</v>
      </c>
      <c r="C190" t="s">
        <v>27</v>
      </c>
      <c r="D190" s="6">
        <v>389.67</v>
      </c>
      <c r="E190" s="12" t="s">
        <v>57</v>
      </c>
      <c r="F190" s="6">
        <v>-13206.25</v>
      </c>
      <c r="G190" s="6">
        <v>-13595.92</v>
      </c>
    </row>
    <row r="191" spans="1:7" x14ac:dyDescent="0.25">
      <c r="A191" t="s">
        <v>143</v>
      </c>
      <c r="B191" t="s">
        <v>85</v>
      </c>
      <c r="C191" t="s">
        <v>25</v>
      </c>
      <c r="D191" s="6">
        <v>81.459999999999994</v>
      </c>
      <c r="E191" s="12" t="s">
        <v>57</v>
      </c>
      <c r="F191" s="6">
        <v>-13124.79</v>
      </c>
      <c r="G191" s="6">
        <v>-13206.25</v>
      </c>
    </row>
    <row r="192" spans="1:7" x14ac:dyDescent="0.25">
      <c r="A192" t="s">
        <v>143</v>
      </c>
      <c r="B192" t="s">
        <v>87</v>
      </c>
      <c r="C192" t="s">
        <v>26</v>
      </c>
      <c r="D192" s="6">
        <v>124.88</v>
      </c>
      <c r="E192" s="12" t="s">
        <v>57</v>
      </c>
      <c r="F192" s="6">
        <v>-12999.91</v>
      </c>
      <c r="G192" s="6">
        <v>-13124.79</v>
      </c>
    </row>
    <row r="193" spans="1:7" x14ac:dyDescent="0.25">
      <c r="A193" t="s">
        <v>133</v>
      </c>
      <c r="B193" t="s">
        <v>109</v>
      </c>
      <c r="C193" t="s">
        <v>25</v>
      </c>
      <c r="D193" s="6">
        <v>233.06</v>
      </c>
      <c r="E193" s="12" t="s">
        <v>57</v>
      </c>
      <c r="F193" s="6">
        <v>-12985.17</v>
      </c>
      <c r="G193" s="6">
        <v>-13218.23</v>
      </c>
    </row>
    <row r="194" spans="1:7" x14ac:dyDescent="0.25">
      <c r="A194" t="s">
        <v>133</v>
      </c>
      <c r="B194" t="s">
        <v>67</v>
      </c>
      <c r="C194" t="s">
        <v>26</v>
      </c>
      <c r="D194" s="6">
        <v>64.44</v>
      </c>
      <c r="E194" s="12" t="s">
        <v>57</v>
      </c>
      <c r="F194" s="6">
        <v>-12920.73</v>
      </c>
      <c r="G194" s="6">
        <v>-12985.17</v>
      </c>
    </row>
    <row r="195" spans="1:7" x14ac:dyDescent="0.25">
      <c r="A195" t="s">
        <v>45</v>
      </c>
      <c r="B195" t="s">
        <v>90</v>
      </c>
      <c r="C195" t="s">
        <v>24</v>
      </c>
      <c r="D195" s="6">
        <v>152.54</v>
      </c>
      <c r="E195" s="12" t="s">
        <v>57</v>
      </c>
      <c r="F195" s="6">
        <v>-12847.37</v>
      </c>
      <c r="G195" s="6">
        <v>-12999.91</v>
      </c>
    </row>
    <row r="196" spans="1:7" x14ac:dyDescent="0.25">
      <c r="A196" t="s">
        <v>133</v>
      </c>
      <c r="B196" t="s">
        <v>75</v>
      </c>
      <c r="C196" t="s">
        <v>25</v>
      </c>
      <c r="D196" s="6">
        <v>217.83</v>
      </c>
      <c r="E196" s="12" t="s">
        <v>57</v>
      </c>
      <c r="F196" s="6">
        <v>-12702.9</v>
      </c>
      <c r="G196" s="6">
        <v>-12920.73</v>
      </c>
    </row>
    <row r="197" spans="1:7" x14ac:dyDescent="0.25">
      <c r="A197" t="s">
        <v>132</v>
      </c>
      <c r="B197" t="s">
        <v>105</v>
      </c>
      <c r="C197" t="s">
        <v>27</v>
      </c>
      <c r="D197" s="6">
        <v>309.23</v>
      </c>
      <c r="E197" s="12" t="s">
        <v>57</v>
      </c>
      <c r="F197" s="6">
        <v>-12393.67</v>
      </c>
      <c r="G197" s="6">
        <v>-12702.9</v>
      </c>
    </row>
    <row r="198" spans="1:7" x14ac:dyDescent="0.25">
      <c r="A198" t="s">
        <v>132</v>
      </c>
      <c r="B198" t="s">
        <v>60</v>
      </c>
      <c r="C198" t="s">
        <v>24</v>
      </c>
      <c r="D198" s="6">
        <v>52.26</v>
      </c>
      <c r="E198" s="12" t="s">
        <v>57</v>
      </c>
      <c r="F198" s="6">
        <v>-12341.41</v>
      </c>
      <c r="G198" s="6">
        <v>-12393.67</v>
      </c>
    </row>
    <row r="199" spans="1:7" x14ac:dyDescent="0.25">
      <c r="A199" t="s">
        <v>45</v>
      </c>
      <c r="B199" t="s">
        <v>46</v>
      </c>
      <c r="C199" t="s">
        <v>27</v>
      </c>
      <c r="D199" s="6">
        <v>594.47</v>
      </c>
      <c r="E199" s="12" t="s">
        <v>57</v>
      </c>
      <c r="F199" s="6">
        <v>-12252.9</v>
      </c>
      <c r="G199" s="6">
        <v>-12847.37</v>
      </c>
    </row>
    <row r="200" spans="1:7" x14ac:dyDescent="0.25">
      <c r="A200" t="s">
        <v>131</v>
      </c>
      <c r="B200" t="s">
        <v>100</v>
      </c>
      <c r="C200" t="s">
        <v>24</v>
      </c>
      <c r="D200" s="6">
        <v>306.01</v>
      </c>
      <c r="E200" s="12" t="s">
        <v>57</v>
      </c>
      <c r="F200" s="6">
        <v>-12035.4</v>
      </c>
      <c r="G200" s="6">
        <v>-12341.41</v>
      </c>
    </row>
    <row r="201" spans="1:7" x14ac:dyDescent="0.25">
      <c r="A201" t="s">
        <v>131</v>
      </c>
      <c r="B201" t="s">
        <v>61</v>
      </c>
      <c r="C201" t="s">
        <v>24</v>
      </c>
      <c r="D201" s="6">
        <v>191.79</v>
      </c>
      <c r="E201" s="12" t="s">
        <v>57</v>
      </c>
      <c r="F201" s="6">
        <v>-11843.61</v>
      </c>
      <c r="G201" s="6">
        <v>-12035.4</v>
      </c>
    </row>
    <row r="202" spans="1:7" x14ac:dyDescent="0.25">
      <c r="A202" t="s">
        <v>142</v>
      </c>
      <c r="B202" t="s">
        <v>82</v>
      </c>
      <c r="C202" t="s">
        <v>24</v>
      </c>
      <c r="D202" s="6">
        <v>436.39</v>
      </c>
      <c r="E202" s="12" t="s">
        <v>57</v>
      </c>
      <c r="F202" s="6">
        <v>-11816.51</v>
      </c>
      <c r="G202" s="6">
        <v>-12252.9</v>
      </c>
    </row>
    <row r="203" spans="1:7" x14ac:dyDescent="0.25">
      <c r="A203" t="s">
        <v>131</v>
      </c>
      <c r="B203" t="s">
        <v>96</v>
      </c>
      <c r="C203" t="s">
        <v>24</v>
      </c>
      <c r="D203" s="6">
        <v>67.150000000000006</v>
      </c>
      <c r="E203" s="12" t="s">
        <v>57</v>
      </c>
      <c r="F203" s="6">
        <v>-11776.46</v>
      </c>
      <c r="G203" s="6">
        <v>-11843.61</v>
      </c>
    </row>
    <row r="204" spans="1:7" x14ac:dyDescent="0.25">
      <c r="A204" t="s">
        <v>131</v>
      </c>
      <c r="B204" t="s">
        <v>109</v>
      </c>
      <c r="C204" t="s">
        <v>25</v>
      </c>
      <c r="D204" s="6">
        <v>341.91</v>
      </c>
      <c r="E204" s="12" t="s">
        <v>57</v>
      </c>
      <c r="F204" s="6">
        <v>-11434.55</v>
      </c>
      <c r="G204" s="6">
        <v>-11776.46</v>
      </c>
    </row>
    <row r="205" spans="1:7" x14ac:dyDescent="0.25">
      <c r="A205" t="s">
        <v>131</v>
      </c>
      <c r="B205" t="s">
        <v>86</v>
      </c>
      <c r="C205" t="s">
        <v>25</v>
      </c>
      <c r="D205" s="6">
        <v>115.54</v>
      </c>
      <c r="E205" s="12" t="s">
        <v>57</v>
      </c>
      <c r="F205" s="6">
        <v>-11319.01</v>
      </c>
      <c r="G205" s="6">
        <v>-11434.55</v>
      </c>
    </row>
    <row r="206" spans="1:7" x14ac:dyDescent="0.25">
      <c r="A206" t="s">
        <v>130</v>
      </c>
      <c r="B206" t="s">
        <v>94</v>
      </c>
      <c r="C206" t="s">
        <v>28</v>
      </c>
      <c r="D206" s="6">
        <v>398.16</v>
      </c>
      <c r="E206" s="12" t="s">
        <v>57</v>
      </c>
      <c r="F206" s="6">
        <v>-10920.85</v>
      </c>
      <c r="G206" s="6">
        <v>-11319.01</v>
      </c>
    </row>
    <row r="207" spans="1:7" x14ac:dyDescent="0.25">
      <c r="A207" t="s">
        <v>130</v>
      </c>
      <c r="B207" t="s">
        <v>60</v>
      </c>
      <c r="C207" t="s">
        <v>24</v>
      </c>
      <c r="D207" s="6">
        <v>180.35</v>
      </c>
      <c r="E207" s="12" t="s">
        <v>57</v>
      </c>
      <c r="F207" s="6">
        <v>-10740.5</v>
      </c>
      <c r="G207" s="6">
        <v>-10920.85</v>
      </c>
    </row>
    <row r="208" spans="1:7" x14ac:dyDescent="0.25">
      <c r="A208" t="s">
        <v>130</v>
      </c>
      <c r="B208" t="s">
        <v>121</v>
      </c>
      <c r="C208" t="s">
        <v>27</v>
      </c>
      <c r="D208" s="6">
        <v>445.31</v>
      </c>
      <c r="E208" s="12" t="s">
        <v>57</v>
      </c>
      <c r="F208" s="6">
        <v>-10295.19</v>
      </c>
      <c r="G208" s="6">
        <v>-10740.5</v>
      </c>
    </row>
    <row r="209" spans="1:7" x14ac:dyDescent="0.25">
      <c r="A209" t="s">
        <v>41</v>
      </c>
      <c r="B209" t="s">
        <v>42</v>
      </c>
      <c r="C209" t="s">
        <v>28</v>
      </c>
      <c r="D209" s="6">
        <v>1532.39</v>
      </c>
      <c r="E209" s="12" t="s">
        <v>57</v>
      </c>
      <c r="F209" s="6">
        <v>-10284.120000000001</v>
      </c>
      <c r="G209" s="6">
        <v>-11816.51</v>
      </c>
    </row>
    <row r="210" spans="1:7" x14ac:dyDescent="0.25">
      <c r="A210" t="s">
        <v>141</v>
      </c>
      <c r="B210" t="s">
        <v>109</v>
      </c>
      <c r="C210" t="s">
        <v>25</v>
      </c>
      <c r="D210" s="6">
        <v>102.38</v>
      </c>
      <c r="E210" s="12" t="s">
        <v>57</v>
      </c>
      <c r="F210" s="6">
        <v>-10181.74</v>
      </c>
      <c r="G210" s="6">
        <v>-10284.120000000001</v>
      </c>
    </row>
    <row r="211" spans="1:7" x14ac:dyDescent="0.25">
      <c r="A211" t="s">
        <v>140</v>
      </c>
      <c r="B211" t="s">
        <v>75</v>
      </c>
      <c r="C211" t="s">
        <v>25</v>
      </c>
      <c r="D211" s="6">
        <v>36.340000000000003</v>
      </c>
      <c r="E211" s="12" t="s">
        <v>57</v>
      </c>
      <c r="F211" s="6">
        <v>-10145.4</v>
      </c>
      <c r="G211" s="6">
        <v>-10181.74</v>
      </c>
    </row>
    <row r="212" spans="1:7" x14ac:dyDescent="0.25">
      <c r="A212" t="s">
        <v>140</v>
      </c>
      <c r="B212" t="s">
        <v>82</v>
      </c>
      <c r="C212" t="s">
        <v>24</v>
      </c>
      <c r="D212" s="6">
        <v>112.1</v>
      </c>
      <c r="E212" s="12" t="s">
        <v>57</v>
      </c>
      <c r="F212" s="6">
        <v>-10033.299999999999</v>
      </c>
      <c r="G212" s="6">
        <v>-10145.4</v>
      </c>
    </row>
    <row r="213" spans="1:7" x14ac:dyDescent="0.25">
      <c r="A213" t="s">
        <v>139</v>
      </c>
      <c r="B213" t="s">
        <v>79</v>
      </c>
      <c r="C213" t="s">
        <v>28</v>
      </c>
      <c r="D213" s="6">
        <v>54.28</v>
      </c>
      <c r="E213" s="12" t="s">
        <v>57</v>
      </c>
      <c r="F213" s="6">
        <v>-9979.02</v>
      </c>
      <c r="G213" s="6">
        <v>-10033.299999999999</v>
      </c>
    </row>
    <row r="214" spans="1:7" x14ac:dyDescent="0.25">
      <c r="A214" t="s">
        <v>130</v>
      </c>
      <c r="B214" t="s">
        <v>94</v>
      </c>
      <c r="C214" t="s">
        <v>28</v>
      </c>
      <c r="D214" s="6">
        <v>359.34</v>
      </c>
      <c r="E214" s="12" t="s">
        <v>57</v>
      </c>
      <c r="F214" s="6">
        <v>-9935.85</v>
      </c>
      <c r="G214" s="6">
        <v>-10295.19</v>
      </c>
    </row>
    <row r="215" spans="1:7" x14ac:dyDescent="0.25">
      <c r="A215" t="s">
        <v>138</v>
      </c>
      <c r="B215" t="s">
        <v>62</v>
      </c>
      <c r="C215" t="s">
        <v>25</v>
      </c>
      <c r="D215" s="6">
        <v>46.86</v>
      </c>
      <c r="E215" s="12" t="s">
        <v>57</v>
      </c>
      <c r="F215" s="6">
        <v>-9932.16</v>
      </c>
      <c r="G215" s="6">
        <v>-9979.02</v>
      </c>
    </row>
    <row r="216" spans="1:7" x14ac:dyDescent="0.25">
      <c r="A216" t="s">
        <v>130</v>
      </c>
      <c r="B216" t="s">
        <v>73</v>
      </c>
      <c r="C216" t="s">
        <v>24</v>
      </c>
      <c r="D216" s="6">
        <v>259.14</v>
      </c>
      <c r="E216" s="12" t="s">
        <v>57</v>
      </c>
      <c r="F216" s="6">
        <v>-9676.7099999999991</v>
      </c>
      <c r="G216" s="6">
        <v>-9935.85</v>
      </c>
    </row>
    <row r="217" spans="1:7" x14ac:dyDescent="0.25">
      <c r="A217" t="s">
        <v>129</v>
      </c>
      <c r="B217" t="s">
        <v>109</v>
      </c>
      <c r="C217" t="s">
        <v>25</v>
      </c>
      <c r="D217" s="6">
        <v>18.05</v>
      </c>
      <c r="E217" s="12" t="s">
        <v>57</v>
      </c>
      <c r="F217" s="6">
        <v>-9658.66</v>
      </c>
      <c r="G217" s="6">
        <v>-9676.7099999999991</v>
      </c>
    </row>
    <row r="218" spans="1:7" x14ac:dyDescent="0.25">
      <c r="A218" t="s">
        <v>138</v>
      </c>
      <c r="B218" t="s">
        <v>61</v>
      </c>
      <c r="C218" t="s">
        <v>24</v>
      </c>
      <c r="D218" s="6">
        <v>337.44</v>
      </c>
      <c r="E218" s="12" t="s">
        <v>57</v>
      </c>
      <c r="F218" s="6">
        <v>-9594.7199999999993</v>
      </c>
      <c r="G218" s="6">
        <v>-9932.16</v>
      </c>
    </row>
    <row r="219" spans="1:7" x14ac:dyDescent="0.25">
      <c r="A219" t="s">
        <v>138</v>
      </c>
      <c r="B219" t="s">
        <v>61</v>
      </c>
      <c r="C219" t="s">
        <v>24</v>
      </c>
      <c r="D219" s="6">
        <v>235.84</v>
      </c>
      <c r="E219" s="12" t="s">
        <v>57</v>
      </c>
      <c r="F219" s="6">
        <v>-9358.8799999999992</v>
      </c>
      <c r="G219" s="6">
        <v>-9594.7199999999993</v>
      </c>
    </row>
    <row r="220" spans="1:7" x14ac:dyDescent="0.25">
      <c r="A220" t="s">
        <v>137</v>
      </c>
      <c r="B220" t="s">
        <v>104</v>
      </c>
      <c r="C220" t="s">
        <v>26</v>
      </c>
      <c r="D220" s="6">
        <v>73.540000000000006</v>
      </c>
      <c r="E220" s="12" t="s">
        <v>57</v>
      </c>
      <c r="F220" s="6">
        <v>-9285.34</v>
      </c>
      <c r="G220" s="6">
        <v>-9358.8799999999992</v>
      </c>
    </row>
    <row r="221" spans="1:7" x14ac:dyDescent="0.25">
      <c r="A221" t="s">
        <v>136</v>
      </c>
      <c r="B221" t="s">
        <v>68</v>
      </c>
      <c r="C221" t="s">
        <v>26</v>
      </c>
      <c r="D221" s="6">
        <v>43.54</v>
      </c>
      <c r="E221" s="12" t="s">
        <v>57</v>
      </c>
      <c r="F221" s="6">
        <v>-9241.7999999999993</v>
      </c>
      <c r="G221" s="6">
        <v>-9285.34</v>
      </c>
    </row>
    <row r="222" spans="1:7" x14ac:dyDescent="0.25">
      <c r="A222" t="s">
        <v>129</v>
      </c>
      <c r="B222" t="s">
        <v>100</v>
      </c>
      <c r="C222" t="s">
        <v>24</v>
      </c>
      <c r="D222" s="6">
        <v>443.57</v>
      </c>
      <c r="E222" s="12" t="s">
        <v>57</v>
      </c>
      <c r="F222" s="6">
        <v>-9215.09</v>
      </c>
      <c r="G222" s="6">
        <v>-9658.66</v>
      </c>
    </row>
    <row r="223" spans="1:7" x14ac:dyDescent="0.25">
      <c r="A223" t="s">
        <v>129</v>
      </c>
      <c r="B223" t="s">
        <v>56</v>
      </c>
      <c r="C223" t="s">
        <v>28</v>
      </c>
      <c r="D223" s="6">
        <v>421.26</v>
      </c>
      <c r="E223" s="12" t="s">
        <v>57</v>
      </c>
      <c r="F223" s="6">
        <v>-8793.83</v>
      </c>
      <c r="G223" s="6">
        <v>-9215.09</v>
      </c>
    </row>
    <row r="224" spans="1:7" x14ac:dyDescent="0.25">
      <c r="A224" t="s">
        <v>128</v>
      </c>
      <c r="B224" t="s">
        <v>56</v>
      </c>
      <c r="C224" t="s">
        <v>28</v>
      </c>
      <c r="D224" s="6">
        <v>91.51</v>
      </c>
      <c r="E224" s="12" t="s">
        <v>57</v>
      </c>
      <c r="F224" s="6">
        <v>-8702.32</v>
      </c>
      <c r="G224" s="6">
        <v>-8793.83</v>
      </c>
    </row>
    <row r="225" spans="1:7" x14ac:dyDescent="0.25">
      <c r="A225" t="s">
        <v>128</v>
      </c>
      <c r="B225" t="s">
        <v>60</v>
      </c>
      <c r="C225" t="s">
        <v>24</v>
      </c>
      <c r="D225" s="6">
        <v>162.07</v>
      </c>
      <c r="E225" s="12" t="s">
        <v>57</v>
      </c>
      <c r="F225" s="6">
        <v>-8540.25</v>
      </c>
      <c r="G225" s="6">
        <v>-8702.32</v>
      </c>
    </row>
    <row r="226" spans="1:7" x14ac:dyDescent="0.25">
      <c r="A226" t="s">
        <v>127</v>
      </c>
      <c r="B226" t="s">
        <v>109</v>
      </c>
      <c r="C226" t="s">
        <v>25</v>
      </c>
      <c r="D226" s="6">
        <v>283.39999999999998</v>
      </c>
      <c r="E226" s="12" t="s">
        <v>57</v>
      </c>
      <c r="F226" s="6">
        <v>-8256.85</v>
      </c>
      <c r="G226" s="6">
        <v>-8540.25</v>
      </c>
    </row>
    <row r="227" spans="1:7" x14ac:dyDescent="0.25">
      <c r="A227" t="s">
        <v>126</v>
      </c>
      <c r="B227" t="s">
        <v>72</v>
      </c>
      <c r="C227" t="s">
        <v>24</v>
      </c>
      <c r="D227" s="6">
        <v>107.49</v>
      </c>
      <c r="E227" s="12" t="s">
        <v>57</v>
      </c>
      <c r="F227" s="6">
        <v>-8149.36</v>
      </c>
      <c r="G227" s="6">
        <v>-8256.85</v>
      </c>
    </row>
    <row r="228" spans="1:7" x14ac:dyDescent="0.25">
      <c r="A228" t="s">
        <v>126</v>
      </c>
      <c r="B228" t="s">
        <v>61</v>
      </c>
      <c r="C228" t="s">
        <v>24</v>
      </c>
      <c r="D228" s="6">
        <v>329.66</v>
      </c>
      <c r="E228" s="12" t="s">
        <v>57</v>
      </c>
      <c r="F228" s="6">
        <v>-7819.7</v>
      </c>
      <c r="G228" s="6">
        <v>-8149.36</v>
      </c>
    </row>
    <row r="229" spans="1:7" x14ac:dyDescent="0.25">
      <c r="A229" t="s">
        <v>126</v>
      </c>
      <c r="B229" t="s">
        <v>117</v>
      </c>
      <c r="C229" t="s">
        <v>25</v>
      </c>
      <c r="D229" s="6">
        <v>170.88</v>
      </c>
      <c r="E229" s="12" t="s">
        <v>57</v>
      </c>
      <c r="F229" s="6">
        <v>-7648.82</v>
      </c>
      <c r="G229" s="6">
        <v>-7819.7</v>
      </c>
    </row>
    <row r="230" spans="1:7" x14ac:dyDescent="0.25">
      <c r="A230" t="s">
        <v>126</v>
      </c>
      <c r="B230" t="s">
        <v>100</v>
      </c>
      <c r="C230" t="s">
        <v>24</v>
      </c>
      <c r="D230" s="6">
        <v>72.62</v>
      </c>
      <c r="E230" s="12" t="s">
        <v>57</v>
      </c>
      <c r="F230" s="6">
        <v>-7576.2</v>
      </c>
      <c r="G230" s="6">
        <v>-7648.82</v>
      </c>
    </row>
    <row r="231" spans="1:7" x14ac:dyDescent="0.25">
      <c r="A231" t="s">
        <v>125</v>
      </c>
      <c r="B231" t="s">
        <v>105</v>
      </c>
      <c r="C231" t="s">
        <v>27</v>
      </c>
      <c r="D231" s="6">
        <v>162.12</v>
      </c>
      <c r="E231" s="12" t="s">
        <v>57</v>
      </c>
      <c r="F231" s="6">
        <v>-7414.08</v>
      </c>
      <c r="G231" s="6">
        <v>-7576.2</v>
      </c>
    </row>
    <row r="232" spans="1:7" x14ac:dyDescent="0.25">
      <c r="A232" t="s">
        <v>125</v>
      </c>
      <c r="B232" t="s">
        <v>86</v>
      </c>
      <c r="C232" t="s">
        <v>25</v>
      </c>
      <c r="D232" s="6">
        <v>94.84</v>
      </c>
      <c r="E232" s="12" t="s">
        <v>57</v>
      </c>
      <c r="F232" s="6">
        <v>-7319.24</v>
      </c>
      <c r="G232" s="6">
        <v>-7414.08</v>
      </c>
    </row>
    <row r="233" spans="1:7" x14ac:dyDescent="0.25">
      <c r="A233" t="s">
        <v>108</v>
      </c>
      <c r="B233" t="s">
        <v>90</v>
      </c>
      <c r="C233" t="s">
        <v>24</v>
      </c>
      <c r="D233" s="6">
        <v>54.55</v>
      </c>
      <c r="E233" s="12" t="s">
        <v>57</v>
      </c>
      <c r="F233" s="6">
        <v>-7296.47</v>
      </c>
      <c r="G233" s="6">
        <v>-7351.02</v>
      </c>
    </row>
    <row r="234" spans="1:7" x14ac:dyDescent="0.25">
      <c r="A234" t="s">
        <v>107</v>
      </c>
      <c r="B234" t="s">
        <v>104</v>
      </c>
      <c r="C234" t="s">
        <v>26</v>
      </c>
      <c r="D234" s="6">
        <v>46.17</v>
      </c>
      <c r="E234" s="12" t="s">
        <v>57</v>
      </c>
      <c r="F234" s="6">
        <v>-7250.3</v>
      </c>
      <c r="G234" s="6">
        <v>-7296.47</v>
      </c>
    </row>
    <row r="235" spans="1:7" x14ac:dyDescent="0.25">
      <c r="A235" t="s">
        <v>124</v>
      </c>
      <c r="B235" t="s">
        <v>100</v>
      </c>
      <c r="C235" t="s">
        <v>24</v>
      </c>
      <c r="D235" s="6">
        <v>234.85</v>
      </c>
      <c r="E235" s="12" t="s">
        <v>57</v>
      </c>
      <c r="F235" s="6">
        <v>-7084.39</v>
      </c>
      <c r="G235" s="6">
        <v>-7319.24</v>
      </c>
    </row>
    <row r="236" spans="1:7" x14ac:dyDescent="0.25">
      <c r="A236" t="s">
        <v>106</v>
      </c>
      <c r="B236" t="s">
        <v>94</v>
      </c>
      <c r="C236" t="s">
        <v>28</v>
      </c>
      <c r="D236" s="6">
        <v>230.3</v>
      </c>
      <c r="E236" s="12" t="s">
        <v>57</v>
      </c>
      <c r="F236" s="6">
        <v>-7020</v>
      </c>
      <c r="G236" s="6">
        <v>-7250.3</v>
      </c>
    </row>
    <row r="237" spans="1:7" x14ac:dyDescent="0.25">
      <c r="A237" t="s">
        <v>124</v>
      </c>
      <c r="B237" t="s">
        <v>72</v>
      </c>
      <c r="C237" t="s">
        <v>24</v>
      </c>
      <c r="D237" s="6">
        <v>118.83</v>
      </c>
      <c r="E237" s="12" t="s">
        <v>57</v>
      </c>
      <c r="F237" s="6">
        <v>-6965.56</v>
      </c>
      <c r="G237" s="6">
        <v>-7084.39</v>
      </c>
    </row>
    <row r="238" spans="1:7" x14ac:dyDescent="0.25">
      <c r="A238" t="s">
        <v>123</v>
      </c>
      <c r="B238" t="s">
        <v>109</v>
      </c>
      <c r="C238" t="s">
        <v>25</v>
      </c>
      <c r="D238" s="6">
        <v>18.3</v>
      </c>
      <c r="E238" s="12" t="s">
        <v>57</v>
      </c>
      <c r="F238" s="6">
        <v>-6947.26</v>
      </c>
      <c r="G238" s="6">
        <v>-6965.56</v>
      </c>
    </row>
    <row r="239" spans="1:7" x14ac:dyDescent="0.25">
      <c r="A239" t="s">
        <v>123</v>
      </c>
      <c r="B239" t="s">
        <v>58</v>
      </c>
      <c r="C239" t="s">
        <v>28</v>
      </c>
      <c r="D239" s="6">
        <v>75.09</v>
      </c>
      <c r="E239" s="12" t="s">
        <v>57</v>
      </c>
      <c r="F239" s="6">
        <v>-6872.17</v>
      </c>
      <c r="G239" s="6">
        <v>-6947.26</v>
      </c>
    </row>
    <row r="240" spans="1:7" x14ac:dyDescent="0.25">
      <c r="A240" t="s">
        <v>123</v>
      </c>
      <c r="B240" t="s">
        <v>67</v>
      </c>
      <c r="C240" t="s">
        <v>26</v>
      </c>
      <c r="D240" s="6">
        <v>123.31</v>
      </c>
      <c r="E240" s="12" t="s">
        <v>57</v>
      </c>
      <c r="F240" s="6">
        <v>-6748.86</v>
      </c>
      <c r="G240" s="6">
        <v>-6872.17</v>
      </c>
    </row>
    <row r="241" spans="1:7" x14ac:dyDescent="0.25">
      <c r="A241" t="s">
        <v>122</v>
      </c>
      <c r="B241" t="s">
        <v>75</v>
      </c>
      <c r="C241" t="s">
        <v>25</v>
      </c>
      <c r="D241" s="6">
        <v>121.61</v>
      </c>
      <c r="E241" s="12" t="s">
        <v>57</v>
      </c>
      <c r="F241" s="6">
        <v>-6627.25</v>
      </c>
      <c r="G241" s="6">
        <v>-6748.86</v>
      </c>
    </row>
    <row r="242" spans="1:7" x14ac:dyDescent="0.25">
      <c r="A242" t="s">
        <v>103</v>
      </c>
      <c r="B242" t="s">
        <v>105</v>
      </c>
      <c r="C242" t="s">
        <v>27</v>
      </c>
      <c r="D242" s="6">
        <v>527</v>
      </c>
      <c r="E242" s="12" t="s">
        <v>57</v>
      </c>
      <c r="F242" s="6">
        <v>-6493</v>
      </c>
      <c r="G242" s="6">
        <v>-7020</v>
      </c>
    </row>
    <row r="243" spans="1:7" x14ac:dyDescent="0.25">
      <c r="A243" t="s">
        <v>120</v>
      </c>
      <c r="B243" t="s">
        <v>121</v>
      </c>
      <c r="C243" t="s">
        <v>27</v>
      </c>
      <c r="D243" s="6">
        <v>178.95</v>
      </c>
      <c r="E243" s="12" t="s">
        <v>57</v>
      </c>
      <c r="F243" s="6">
        <v>-6448.3</v>
      </c>
      <c r="G243" s="6">
        <v>-6627.25</v>
      </c>
    </row>
    <row r="244" spans="1:7" x14ac:dyDescent="0.25">
      <c r="A244" t="s">
        <v>120</v>
      </c>
      <c r="B244" t="s">
        <v>90</v>
      </c>
      <c r="C244" t="s">
        <v>24</v>
      </c>
      <c r="D244" s="6">
        <v>75.98</v>
      </c>
      <c r="E244" s="12" t="s">
        <v>57</v>
      </c>
      <c r="F244" s="6">
        <v>-6372.32</v>
      </c>
      <c r="G244" s="6">
        <v>-6448.3</v>
      </c>
    </row>
    <row r="245" spans="1:7" x14ac:dyDescent="0.25">
      <c r="A245" t="s">
        <v>103</v>
      </c>
      <c r="B245" t="s">
        <v>104</v>
      </c>
      <c r="C245" t="s">
        <v>26</v>
      </c>
      <c r="D245" s="6">
        <v>137.86000000000001</v>
      </c>
      <c r="E245" s="12" t="s">
        <v>57</v>
      </c>
      <c r="F245" s="6">
        <v>-6355.14</v>
      </c>
      <c r="G245" s="6">
        <v>-6493</v>
      </c>
    </row>
    <row r="246" spans="1:7" x14ac:dyDescent="0.25">
      <c r="A246" t="s">
        <v>102</v>
      </c>
      <c r="B246" t="s">
        <v>75</v>
      </c>
      <c r="C246" t="s">
        <v>25</v>
      </c>
      <c r="D246" s="6">
        <v>55.34</v>
      </c>
      <c r="E246" s="12" t="s">
        <v>57</v>
      </c>
      <c r="F246" s="6">
        <v>-6299.8</v>
      </c>
      <c r="G246" s="6">
        <v>-6355.14</v>
      </c>
    </row>
    <row r="247" spans="1:7" x14ac:dyDescent="0.25">
      <c r="A247" t="s">
        <v>119</v>
      </c>
      <c r="B247" t="s">
        <v>100</v>
      </c>
      <c r="C247" t="s">
        <v>24</v>
      </c>
      <c r="D247" s="6">
        <v>216.24</v>
      </c>
      <c r="E247" s="12" t="s">
        <v>57</v>
      </c>
      <c r="F247" s="6">
        <v>-6156.08</v>
      </c>
      <c r="G247" s="6">
        <v>-6372.32</v>
      </c>
    </row>
    <row r="248" spans="1:7" x14ac:dyDescent="0.25">
      <c r="A248" t="s">
        <v>118</v>
      </c>
      <c r="B248" t="s">
        <v>75</v>
      </c>
      <c r="C248" t="s">
        <v>25</v>
      </c>
      <c r="D248" s="6">
        <v>18.43</v>
      </c>
      <c r="E248" s="12" t="s">
        <v>57</v>
      </c>
      <c r="F248" s="6">
        <v>-6137.65</v>
      </c>
      <c r="G248" s="6">
        <v>-6156.08</v>
      </c>
    </row>
    <row r="249" spans="1:7" x14ac:dyDescent="0.25">
      <c r="A249" t="s">
        <v>118</v>
      </c>
      <c r="B249" t="s">
        <v>87</v>
      </c>
      <c r="C249" t="s">
        <v>26</v>
      </c>
      <c r="D249" s="6">
        <v>110.09</v>
      </c>
      <c r="E249" s="12" t="s">
        <v>57</v>
      </c>
      <c r="F249" s="6">
        <v>-6027.56</v>
      </c>
      <c r="G249" s="6">
        <v>-6137.65</v>
      </c>
    </row>
    <row r="250" spans="1:7" x14ac:dyDescent="0.25">
      <c r="A250" t="s">
        <v>102</v>
      </c>
      <c r="B250" t="s">
        <v>86</v>
      </c>
      <c r="C250" t="s">
        <v>25</v>
      </c>
      <c r="D250" s="6">
        <v>316.02</v>
      </c>
      <c r="E250" s="12" t="s">
        <v>57</v>
      </c>
      <c r="F250" s="6">
        <v>-5983.78</v>
      </c>
      <c r="G250" s="6">
        <v>-6299.8</v>
      </c>
    </row>
    <row r="251" spans="1:7" x14ac:dyDescent="0.25">
      <c r="A251" t="s">
        <v>101</v>
      </c>
      <c r="B251" t="s">
        <v>65</v>
      </c>
      <c r="C251" t="s">
        <v>26</v>
      </c>
      <c r="D251" s="6">
        <v>159.13999999999999</v>
      </c>
      <c r="E251" s="12" t="s">
        <v>57</v>
      </c>
      <c r="F251" s="6">
        <v>-5824.64</v>
      </c>
      <c r="G251" s="6">
        <v>-5983.78</v>
      </c>
    </row>
    <row r="252" spans="1:7" x14ac:dyDescent="0.25">
      <c r="A252" t="s">
        <v>115</v>
      </c>
      <c r="B252" t="s">
        <v>117</v>
      </c>
      <c r="C252" t="s">
        <v>25</v>
      </c>
      <c r="D252" s="6">
        <v>203.5</v>
      </c>
      <c r="E252" s="12" t="s">
        <v>57</v>
      </c>
      <c r="F252" s="6">
        <v>-5824.06</v>
      </c>
      <c r="G252" s="6">
        <v>-6027.56</v>
      </c>
    </row>
    <row r="253" spans="1:7" x14ac:dyDescent="0.25">
      <c r="A253" t="s">
        <v>115</v>
      </c>
      <c r="B253" t="s">
        <v>116</v>
      </c>
      <c r="C253" t="s">
        <v>28</v>
      </c>
      <c r="D253" s="6">
        <v>56.03</v>
      </c>
      <c r="E253" s="12" t="s">
        <v>57</v>
      </c>
      <c r="F253" s="6">
        <v>-5768.03</v>
      </c>
      <c r="G253" s="6">
        <v>-5824.06</v>
      </c>
    </row>
    <row r="254" spans="1:7" x14ac:dyDescent="0.25">
      <c r="A254" t="s">
        <v>35</v>
      </c>
      <c r="B254" t="s">
        <v>85</v>
      </c>
      <c r="C254" t="s">
        <v>25</v>
      </c>
      <c r="D254" s="6">
        <v>70.709999999999994</v>
      </c>
      <c r="E254" s="12" t="s">
        <v>57</v>
      </c>
      <c r="F254" s="6">
        <v>-5753.93</v>
      </c>
      <c r="G254" s="6">
        <v>-5824.64</v>
      </c>
    </row>
    <row r="255" spans="1:7" x14ac:dyDescent="0.25">
      <c r="A255" t="s">
        <v>115</v>
      </c>
      <c r="B255" t="s">
        <v>58</v>
      </c>
      <c r="C255" t="s">
        <v>28</v>
      </c>
      <c r="D255" s="6">
        <v>269.10000000000002</v>
      </c>
      <c r="E255" s="12" t="s">
        <v>57</v>
      </c>
      <c r="F255" s="6">
        <v>-5498.93</v>
      </c>
      <c r="G255" s="6">
        <v>-5768.03</v>
      </c>
    </row>
    <row r="256" spans="1:7" x14ac:dyDescent="0.25">
      <c r="A256" t="s">
        <v>114</v>
      </c>
      <c r="B256" t="s">
        <v>82</v>
      </c>
      <c r="C256" t="s">
        <v>24</v>
      </c>
      <c r="D256" s="6">
        <v>86.08</v>
      </c>
      <c r="E256" s="12" t="s">
        <v>57</v>
      </c>
      <c r="F256" s="6">
        <v>-5412.85</v>
      </c>
      <c r="G256" s="6">
        <v>-5498.93</v>
      </c>
    </row>
    <row r="257" spans="1:7" x14ac:dyDescent="0.25">
      <c r="A257" t="s">
        <v>114</v>
      </c>
      <c r="B257" t="s">
        <v>86</v>
      </c>
      <c r="C257" t="s">
        <v>25</v>
      </c>
      <c r="D257" s="6">
        <v>38.83</v>
      </c>
      <c r="E257" s="12" t="s">
        <v>57</v>
      </c>
      <c r="F257" s="6">
        <v>-5374.02</v>
      </c>
      <c r="G257" s="6">
        <v>-5412.85</v>
      </c>
    </row>
    <row r="258" spans="1:7" x14ac:dyDescent="0.25">
      <c r="A258" t="s">
        <v>35</v>
      </c>
      <c r="B258" t="s">
        <v>58</v>
      </c>
      <c r="C258" t="s">
        <v>28</v>
      </c>
      <c r="D258" s="6">
        <v>435.16</v>
      </c>
      <c r="E258" s="12" t="s">
        <v>57</v>
      </c>
      <c r="F258" s="6">
        <v>-5318.77</v>
      </c>
      <c r="G258" s="6">
        <v>-5753.93</v>
      </c>
    </row>
    <row r="259" spans="1:7" x14ac:dyDescent="0.25">
      <c r="A259" t="s">
        <v>113</v>
      </c>
      <c r="B259" t="s">
        <v>94</v>
      </c>
      <c r="C259" t="s">
        <v>28</v>
      </c>
      <c r="D259" s="6">
        <v>305.62</v>
      </c>
      <c r="E259" s="12" t="s">
        <v>57</v>
      </c>
      <c r="F259" s="6">
        <v>-5068.3999999999996</v>
      </c>
      <c r="G259" s="6">
        <v>-5374.02</v>
      </c>
    </row>
    <row r="260" spans="1:7" x14ac:dyDescent="0.25">
      <c r="A260" t="s">
        <v>113</v>
      </c>
      <c r="B260" t="s">
        <v>104</v>
      </c>
      <c r="C260" t="s">
        <v>26</v>
      </c>
      <c r="D260" s="6">
        <v>184.87</v>
      </c>
      <c r="E260" s="12" t="s">
        <v>57</v>
      </c>
      <c r="F260" s="6">
        <v>-4883.53</v>
      </c>
      <c r="G260" s="6">
        <v>-5068.3999999999996</v>
      </c>
    </row>
    <row r="261" spans="1:7" x14ac:dyDescent="0.25">
      <c r="A261" t="s">
        <v>112</v>
      </c>
      <c r="B261" t="s">
        <v>68</v>
      </c>
      <c r="C261" t="s">
        <v>26</v>
      </c>
      <c r="D261" s="6">
        <v>32.32</v>
      </c>
      <c r="E261" s="12" t="s">
        <v>57</v>
      </c>
      <c r="F261" s="6">
        <v>-4851.21</v>
      </c>
      <c r="G261" s="6">
        <v>-4883.53</v>
      </c>
    </row>
    <row r="262" spans="1:7" x14ac:dyDescent="0.25">
      <c r="A262" t="s">
        <v>112</v>
      </c>
      <c r="B262" t="s">
        <v>73</v>
      </c>
      <c r="C262" t="s">
        <v>24</v>
      </c>
      <c r="D262" s="6">
        <v>275.54000000000002</v>
      </c>
      <c r="E262" s="12" t="s">
        <v>57</v>
      </c>
      <c r="F262" s="6">
        <v>-4575.67</v>
      </c>
      <c r="G262" s="6">
        <v>-4851.21</v>
      </c>
    </row>
    <row r="263" spans="1:7" x14ac:dyDescent="0.25">
      <c r="A263" t="s">
        <v>111</v>
      </c>
      <c r="B263" t="s">
        <v>90</v>
      </c>
      <c r="C263" t="s">
        <v>24</v>
      </c>
      <c r="D263" s="6">
        <v>16.41</v>
      </c>
      <c r="E263" s="12" t="s">
        <v>57</v>
      </c>
      <c r="F263" s="6">
        <v>-4559.26</v>
      </c>
      <c r="G263" s="6">
        <v>-4575.67</v>
      </c>
    </row>
    <row r="264" spans="1:7" x14ac:dyDescent="0.25">
      <c r="A264" t="s">
        <v>111</v>
      </c>
      <c r="B264" t="s">
        <v>96</v>
      </c>
      <c r="C264" t="s">
        <v>24</v>
      </c>
      <c r="D264" s="6">
        <v>274.44</v>
      </c>
      <c r="E264" s="12" t="s">
        <v>57</v>
      </c>
      <c r="F264" s="6">
        <v>-4284.82</v>
      </c>
      <c r="G264" s="6">
        <v>-4559.26</v>
      </c>
    </row>
    <row r="265" spans="1:7" x14ac:dyDescent="0.25">
      <c r="A265" t="s">
        <v>110</v>
      </c>
      <c r="B265" t="s">
        <v>86</v>
      </c>
      <c r="C265" t="s">
        <v>25</v>
      </c>
      <c r="D265" s="6">
        <v>82.74</v>
      </c>
      <c r="E265" s="12" t="s">
        <v>57</v>
      </c>
      <c r="F265" s="6">
        <v>-4202.08</v>
      </c>
      <c r="G265" s="6">
        <v>-4284.82</v>
      </c>
    </row>
    <row r="266" spans="1:7" x14ac:dyDescent="0.25">
      <c r="A266" t="s">
        <v>47</v>
      </c>
      <c r="B266" t="s">
        <v>46</v>
      </c>
      <c r="C266" t="s">
        <v>27</v>
      </c>
      <c r="D266" s="6">
        <v>571.76</v>
      </c>
      <c r="E266" s="12" t="s">
        <v>57</v>
      </c>
      <c r="F266" s="6">
        <v>-3630.32</v>
      </c>
      <c r="G266" s="6">
        <v>-4202.08</v>
      </c>
    </row>
    <row r="267" spans="1:7" x14ac:dyDescent="0.25">
      <c r="A267" t="s">
        <v>47</v>
      </c>
      <c r="B267" t="s">
        <v>109</v>
      </c>
      <c r="C267" t="s">
        <v>25</v>
      </c>
      <c r="D267" s="6">
        <v>140.22999999999999</v>
      </c>
      <c r="E267" s="12" t="s">
        <v>57</v>
      </c>
      <c r="F267" s="6">
        <v>-3490.09</v>
      </c>
      <c r="G267" s="6">
        <v>-3630.32</v>
      </c>
    </row>
    <row r="268" spans="1:7" x14ac:dyDescent="0.25">
      <c r="A268" t="s">
        <v>35</v>
      </c>
      <c r="B268" t="s">
        <v>36</v>
      </c>
      <c r="C268" t="s">
        <v>28</v>
      </c>
      <c r="D268" s="6">
        <v>1957.65</v>
      </c>
      <c r="E268" s="12" t="s">
        <v>57</v>
      </c>
      <c r="F268" s="6">
        <v>-3361.12</v>
      </c>
      <c r="G268" s="6">
        <v>-5318.77</v>
      </c>
    </row>
    <row r="269" spans="1:7" x14ac:dyDescent="0.25">
      <c r="A269" t="s">
        <v>108</v>
      </c>
      <c r="B269" t="s">
        <v>82</v>
      </c>
      <c r="C269" t="s">
        <v>24</v>
      </c>
      <c r="D269" s="6">
        <v>339.07</v>
      </c>
      <c r="E269" s="12" t="s">
        <v>57</v>
      </c>
      <c r="F269" s="6">
        <v>-3151.02</v>
      </c>
      <c r="G269" s="6">
        <v>-3490.09</v>
      </c>
    </row>
    <row r="270" spans="1:7" x14ac:dyDescent="0.25">
      <c r="A270" t="s">
        <v>99</v>
      </c>
      <c r="B270" t="s">
        <v>100</v>
      </c>
      <c r="C270" t="s">
        <v>24</v>
      </c>
      <c r="D270" s="6">
        <v>381.13</v>
      </c>
      <c r="E270" s="12" t="s">
        <v>57</v>
      </c>
      <c r="F270" s="6">
        <v>-2979.99</v>
      </c>
      <c r="G270" s="6">
        <v>-3361.12</v>
      </c>
    </row>
    <row r="271" spans="1:7" x14ac:dyDescent="0.25">
      <c r="A271" t="s">
        <v>99</v>
      </c>
      <c r="B271" t="s">
        <v>61</v>
      </c>
      <c r="C271" t="s">
        <v>24</v>
      </c>
      <c r="D271" s="6">
        <v>133.47</v>
      </c>
      <c r="E271" s="12" t="s">
        <v>57</v>
      </c>
      <c r="F271" s="6">
        <v>-2846.52</v>
      </c>
      <c r="G271" s="6">
        <v>-2979.99</v>
      </c>
    </row>
    <row r="272" spans="1:7" x14ac:dyDescent="0.25">
      <c r="A272" t="s">
        <v>98</v>
      </c>
      <c r="B272" t="s">
        <v>61</v>
      </c>
      <c r="C272" t="s">
        <v>24</v>
      </c>
      <c r="D272" s="6">
        <v>130.04</v>
      </c>
      <c r="E272" s="12" t="s">
        <v>57</v>
      </c>
      <c r="F272" s="6">
        <v>-2716.48</v>
      </c>
      <c r="G272" s="6">
        <v>-2846.52</v>
      </c>
    </row>
    <row r="273" spans="1:7" x14ac:dyDescent="0.25">
      <c r="A273" t="s">
        <v>98</v>
      </c>
      <c r="B273" t="s">
        <v>60</v>
      </c>
      <c r="C273" t="s">
        <v>24</v>
      </c>
      <c r="D273" s="6">
        <v>271.86</v>
      </c>
      <c r="E273" s="12" t="s">
        <v>57</v>
      </c>
      <c r="F273" s="6">
        <v>-2444.62</v>
      </c>
      <c r="G273" s="6">
        <v>-2716.48</v>
      </c>
    </row>
    <row r="274" spans="1:7" x14ac:dyDescent="0.25">
      <c r="A274" t="s">
        <v>98</v>
      </c>
      <c r="B274" t="s">
        <v>85</v>
      </c>
      <c r="C274" t="s">
        <v>25</v>
      </c>
      <c r="D274" s="6">
        <v>275.24</v>
      </c>
      <c r="E274" s="12" t="s">
        <v>57</v>
      </c>
      <c r="F274" s="6">
        <v>-2169.38</v>
      </c>
      <c r="G274" s="6">
        <v>-2444.62</v>
      </c>
    </row>
    <row r="275" spans="1:7" x14ac:dyDescent="0.25">
      <c r="A275" t="s">
        <v>98</v>
      </c>
      <c r="B275" t="s">
        <v>79</v>
      </c>
      <c r="C275" t="s">
        <v>28</v>
      </c>
      <c r="D275" s="6">
        <v>178.31</v>
      </c>
      <c r="E275" s="12" t="s">
        <v>57</v>
      </c>
      <c r="F275" s="6">
        <v>-1991.07</v>
      </c>
      <c r="G275" s="6">
        <v>-2169.38</v>
      </c>
    </row>
    <row r="276" spans="1:7" x14ac:dyDescent="0.25">
      <c r="A276" t="s">
        <v>97</v>
      </c>
      <c r="B276" t="s">
        <v>92</v>
      </c>
      <c r="C276" t="s">
        <v>27</v>
      </c>
      <c r="D276" s="6">
        <v>209.42</v>
      </c>
      <c r="E276" s="12" t="s">
        <v>57</v>
      </c>
      <c r="F276" s="6">
        <v>-1781.65</v>
      </c>
      <c r="G276" s="6">
        <v>-1991.07</v>
      </c>
    </row>
    <row r="277" spans="1:7" x14ac:dyDescent="0.25">
      <c r="A277" t="s">
        <v>95</v>
      </c>
      <c r="B277" t="s">
        <v>96</v>
      </c>
      <c r="C277" t="s">
        <v>24</v>
      </c>
      <c r="D277" s="6">
        <v>169.12</v>
      </c>
      <c r="E277" s="12" t="s">
        <v>57</v>
      </c>
      <c r="F277" s="6">
        <v>-1612.53</v>
      </c>
      <c r="G277" s="6">
        <v>-1781.65</v>
      </c>
    </row>
    <row r="278" spans="1:7" x14ac:dyDescent="0.25">
      <c r="A278" t="s">
        <v>95</v>
      </c>
      <c r="B278" t="s">
        <v>72</v>
      </c>
      <c r="C278" t="s">
        <v>24</v>
      </c>
      <c r="D278" s="6">
        <v>383.66</v>
      </c>
      <c r="E278" s="12" t="s">
        <v>57</v>
      </c>
      <c r="F278" s="6">
        <v>-1228.8699999999999</v>
      </c>
      <c r="G278" s="6">
        <v>-1612.53</v>
      </c>
    </row>
    <row r="279" spans="1:7" x14ac:dyDescent="0.25">
      <c r="A279" t="s">
        <v>33</v>
      </c>
      <c r="B279" t="s">
        <v>34</v>
      </c>
      <c r="C279" t="s">
        <v>28</v>
      </c>
      <c r="D279" s="6">
        <v>1993.81</v>
      </c>
      <c r="E279" s="12" t="s">
        <v>57</v>
      </c>
      <c r="F279" s="6">
        <v>764.94</v>
      </c>
      <c r="G279" s="6">
        <v>-1228.8699999999999</v>
      </c>
    </row>
    <row r="280" spans="1:7" x14ac:dyDescent="0.25">
      <c r="A280" t="s">
        <v>33</v>
      </c>
      <c r="B280" t="s">
        <v>80</v>
      </c>
      <c r="C280" t="s">
        <v>27</v>
      </c>
      <c r="D280" s="6">
        <v>167.99</v>
      </c>
      <c r="E280" s="12" t="s">
        <v>57</v>
      </c>
      <c r="F280" s="6">
        <v>932.93</v>
      </c>
      <c r="G280" s="6">
        <v>764.94</v>
      </c>
    </row>
    <row r="281" spans="1:7" x14ac:dyDescent="0.25">
      <c r="A281" t="s">
        <v>93</v>
      </c>
      <c r="B281" t="s">
        <v>94</v>
      </c>
      <c r="C281" t="s">
        <v>28</v>
      </c>
      <c r="D281" s="6">
        <v>141.15</v>
      </c>
      <c r="E281" s="12" t="s">
        <v>57</v>
      </c>
      <c r="F281" s="6">
        <v>1074.08</v>
      </c>
      <c r="G281" s="6">
        <v>932.93</v>
      </c>
    </row>
    <row r="282" spans="1:7" x14ac:dyDescent="0.25">
      <c r="A282" t="s">
        <v>91</v>
      </c>
      <c r="B282" t="s">
        <v>92</v>
      </c>
      <c r="C282" t="s">
        <v>27</v>
      </c>
      <c r="D282" s="6">
        <v>110.74</v>
      </c>
      <c r="E282" s="12" t="s">
        <v>57</v>
      </c>
      <c r="F282" s="6">
        <v>1184.82</v>
      </c>
      <c r="G282" s="6">
        <v>1074.08</v>
      </c>
    </row>
    <row r="283" spans="1:7" x14ac:dyDescent="0.25">
      <c r="A283" t="s">
        <v>89</v>
      </c>
      <c r="B283" t="s">
        <v>90</v>
      </c>
      <c r="C283" t="s">
        <v>24</v>
      </c>
      <c r="D283" s="6">
        <v>366.49</v>
      </c>
      <c r="E283" s="12" t="s">
        <v>57</v>
      </c>
      <c r="F283" s="6">
        <v>1551.31</v>
      </c>
      <c r="G283" s="6">
        <v>1184.82</v>
      </c>
    </row>
    <row r="284" spans="1:7" x14ac:dyDescent="0.25">
      <c r="A284" t="s">
        <v>63</v>
      </c>
      <c r="B284" t="s">
        <v>62</v>
      </c>
      <c r="C284" t="s">
        <v>25</v>
      </c>
      <c r="D284" s="6">
        <v>35.58</v>
      </c>
      <c r="E284" s="12" t="s">
        <v>57</v>
      </c>
      <c r="F284" s="6">
        <v>1598.66</v>
      </c>
      <c r="G284" s="6">
        <v>1563.08</v>
      </c>
    </row>
    <row r="285" spans="1:7" x14ac:dyDescent="0.25">
      <c r="A285" t="s">
        <v>88</v>
      </c>
      <c r="B285" t="s">
        <v>75</v>
      </c>
      <c r="C285" t="s">
        <v>25</v>
      </c>
      <c r="D285" s="6">
        <v>150.91</v>
      </c>
      <c r="E285" s="12" t="s">
        <v>57</v>
      </c>
      <c r="F285" s="6">
        <v>1702.22</v>
      </c>
      <c r="G285" s="6">
        <v>1551.31</v>
      </c>
    </row>
    <row r="286" spans="1:7" x14ac:dyDescent="0.25">
      <c r="A286" t="s">
        <v>63</v>
      </c>
      <c r="B286" t="s">
        <v>60</v>
      </c>
      <c r="C286" t="s">
        <v>24</v>
      </c>
      <c r="D286" s="6">
        <v>311.54000000000002</v>
      </c>
      <c r="E286" s="12" t="s">
        <v>57</v>
      </c>
      <c r="F286" s="6">
        <v>1910.2</v>
      </c>
      <c r="G286" s="6">
        <v>1598.66</v>
      </c>
    </row>
    <row r="287" spans="1:7" x14ac:dyDescent="0.25">
      <c r="A287" t="s">
        <v>88</v>
      </c>
      <c r="B287" t="s">
        <v>73</v>
      </c>
      <c r="C287" t="s">
        <v>24</v>
      </c>
      <c r="D287" s="6">
        <v>214.35</v>
      </c>
      <c r="E287" s="12" t="s">
        <v>57</v>
      </c>
      <c r="F287" s="6">
        <v>1916.57</v>
      </c>
      <c r="G287" s="6">
        <v>1702.22</v>
      </c>
    </row>
    <row r="288" spans="1:7" x14ac:dyDescent="0.25">
      <c r="A288" t="s">
        <v>84</v>
      </c>
      <c r="B288" t="s">
        <v>87</v>
      </c>
      <c r="C288" t="s">
        <v>26</v>
      </c>
      <c r="D288" s="6">
        <v>19.57</v>
      </c>
      <c r="E288" s="12" t="s">
        <v>57</v>
      </c>
      <c r="F288" s="6">
        <v>1936.14</v>
      </c>
      <c r="G288" s="6">
        <v>1916.57</v>
      </c>
    </row>
    <row r="289" spans="1:7" x14ac:dyDescent="0.25">
      <c r="A289" t="s">
        <v>59</v>
      </c>
      <c r="B289" t="s">
        <v>62</v>
      </c>
      <c r="C289" t="s">
        <v>25</v>
      </c>
      <c r="D289" s="6">
        <v>274.66000000000003</v>
      </c>
      <c r="E289" s="12" t="s">
        <v>57</v>
      </c>
      <c r="F289" s="6">
        <v>2184.86</v>
      </c>
      <c r="G289" s="6">
        <v>1910.2</v>
      </c>
    </row>
    <row r="290" spans="1:7" x14ac:dyDescent="0.25">
      <c r="A290" t="s">
        <v>84</v>
      </c>
      <c r="B290" t="s">
        <v>60</v>
      </c>
      <c r="C290" t="s">
        <v>24</v>
      </c>
      <c r="D290" s="6">
        <v>308.72000000000003</v>
      </c>
      <c r="E290" s="12" t="s">
        <v>57</v>
      </c>
      <c r="F290" s="6">
        <v>2244.86</v>
      </c>
      <c r="G290" s="6">
        <v>1936.14</v>
      </c>
    </row>
    <row r="291" spans="1:7" x14ac:dyDescent="0.25">
      <c r="A291" t="s">
        <v>59</v>
      </c>
      <c r="B291" t="s">
        <v>61</v>
      </c>
      <c r="C291" t="s">
        <v>24</v>
      </c>
      <c r="D291" s="6">
        <v>318.69</v>
      </c>
      <c r="E291" s="12" t="s">
        <v>57</v>
      </c>
      <c r="F291" s="6">
        <v>2503.5500000000002</v>
      </c>
      <c r="G291" s="6">
        <v>2184.86</v>
      </c>
    </row>
    <row r="292" spans="1:7" x14ac:dyDescent="0.25">
      <c r="A292" t="s">
        <v>84</v>
      </c>
      <c r="B292" t="s">
        <v>86</v>
      </c>
      <c r="C292" t="s">
        <v>25</v>
      </c>
      <c r="D292" s="6">
        <v>323.06</v>
      </c>
      <c r="E292" s="12" t="s">
        <v>57</v>
      </c>
      <c r="F292" s="6">
        <v>2567.92</v>
      </c>
      <c r="G292" s="6">
        <v>2244.86</v>
      </c>
    </row>
    <row r="293" spans="1:7" x14ac:dyDescent="0.25">
      <c r="A293" t="s">
        <v>84</v>
      </c>
      <c r="B293" t="s">
        <v>85</v>
      </c>
      <c r="C293" t="s">
        <v>25</v>
      </c>
      <c r="D293" s="6">
        <v>129.38999999999999</v>
      </c>
      <c r="E293" s="12" t="s">
        <v>57</v>
      </c>
      <c r="F293" s="6">
        <v>2697.31</v>
      </c>
      <c r="G293" s="6">
        <v>2567.92</v>
      </c>
    </row>
    <row r="294" spans="1:7" x14ac:dyDescent="0.25">
      <c r="A294" t="s">
        <v>59</v>
      </c>
      <c r="B294" t="s">
        <v>60</v>
      </c>
      <c r="C294" t="s">
        <v>24</v>
      </c>
      <c r="D294" s="6">
        <v>322.91000000000003</v>
      </c>
      <c r="E294" s="12" t="s">
        <v>57</v>
      </c>
      <c r="F294" s="6">
        <v>2826.46</v>
      </c>
      <c r="G294" s="6">
        <v>2503.5500000000002</v>
      </c>
    </row>
    <row r="295" spans="1:7" x14ac:dyDescent="0.25">
      <c r="A295" t="s">
        <v>83</v>
      </c>
      <c r="B295" t="s">
        <v>61</v>
      </c>
      <c r="C295" t="s">
        <v>24</v>
      </c>
      <c r="D295" s="6">
        <v>179.85</v>
      </c>
      <c r="E295" s="12" t="s">
        <v>57</v>
      </c>
      <c r="F295" s="6">
        <v>2877.16</v>
      </c>
      <c r="G295" s="6">
        <v>2697.31</v>
      </c>
    </row>
    <row r="296" spans="1:7" x14ac:dyDescent="0.25">
      <c r="A296" t="s">
        <v>83</v>
      </c>
      <c r="B296" t="s">
        <v>82</v>
      </c>
      <c r="C296" t="s">
        <v>24</v>
      </c>
      <c r="D296" s="6">
        <v>44.32</v>
      </c>
      <c r="E296" s="12" t="s">
        <v>57</v>
      </c>
      <c r="F296" s="6">
        <v>2921.48</v>
      </c>
      <c r="G296" s="6">
        <v>2877.16</v>
      </c>
    </row>
    <row r="297" spans="1:7" x14ac:dyDescent="0.25">
      <c r="A297" t="s">
        <v>55</v>
      </c>
      <c r="B297" t="s">
        <v>58</v>
      </c>
      <c r="C297" t="s">
        <v>28</v>
      </c>
      <c r="D297" s="6">
        <v>236.24</v>
      </c>
      <c r="E297" s="12" t="s">
        <v>57</v>
      </c>
      <c r="F297" s="6">
        <v>3062.7</v>
      </c>
      <c r="G297" s="6">
        <v>2826.46</v>
      </c>
    </row>
    <row r="298" spans="1:7" x14ac:dyDescent="0.25">
      <c r="A298" t="s">
        <v>81</v>
      </c>
      <c r="B298" t="s">
        <v>82</v>
      </c>
      <c r="C298" t="s">
        <v>24</v>
      </c>
      <c r="D298" s="6">
        <v>372.48</v>
      </c>
      <c r="E298" s="12" t="s">
        <v>57</v>
      </c>
      <c r="F298" s="6">
        <v>3293.96</v>
      </c>
      <c r="G298" s="6">
        <v>2921.48</v>
      </c>
    </row>
    <row r="299" spans="1:7" x14ac:dyDescent="0.25">
      <c r="A299" t="s">
        <v>55</v>
      </c>
      <c r="B299" t="s">
        <v>56</v>
      </c>
      <c r="C299" t="s">
        <v>28</v>
      </c>
      <c r="D299" s="6">
        <v>437.3</v>
      </c>
      <c r="E299" s="12" t="s">
        <v>57</v>
      </c>
      <c r="F299" s="6">
        <v>3500</v>
      </c>
      <c r="G299" s="6">
        <v>3062.7</v>
      </c>
    </row>
    <row r="300" spans="1:7" x14ac:dyDescent="0.25">
      <c r="A300" t="s">
        <v>81</v>
      </c>
      <c r="B300" t="s">
        <v>73</v>
      </c>
      <c r="C300" t="s">
        <v>24</v>
      </c>
      <c r="D300" s="6">
        <v>269.12</v>
      </c>
      <c r="E300" s="12" t="s">
        <v>57</v>
      </c>
      <c r="F300" s="6">
        <v>3563.08</v>
      </c>
      <c r="G300" s="6">
        <v>3293.96</v>
      </c>
    </row>
    <row r="301" spans="1:7" x14ac:dyDescent="0.25">
      <c r="A301" t="s">
        <v>78</v>
      </c>
      <c r="B301" t="s">
        <v>80</v>
      </c>
      <c r="C301" t="s">
        <v>27</v>
      </c>
      <c r="D301" s="6">
        <v>567.29</v>
      </c>
      <c r="E301" s="12" t="s">
        <v>57</v>
      </c>
      <c r="F301" s="6">
        <v>4130.37</v>
      </c>
      <c r="G301" s="6">
        <v>3563.08</v>
      </c>
    </row>
    <row r="302" spans="1:7" x14ac:dyDescent="0.25">
      <c r="A302" t="s">
        <v>78</v>
      </c>
      <c r="B302" t="s">
        <v>79</v>
      </c>
      <c r="C302" t="s">
        <v>28</v>
      </c>
      <c r="D302" s="6">
        <v>148.19</v>
      </c>
      <c r="E302" s="12" t="s">
        <v>57</v>
      </c>
      <c r="F302" s="6">
        <v>4278.5600000000004</v>
      </c>
      <c r="G302" s="6">
        <v>4130.37</v>
      </c>
    </row>
    <row r="303" spans="1:7" x14ac:dyDescent="0.25">
      <c r="A303" t="s">
        <v>78</v>
      </c>
      <c r="B303" t="s">
        <v>46</v>
      </c>
      <c r="C303" t="s">
        <v>27</v>
      </c>
      <c r="D303" s="6">
        <v>207.14</v>
      </c>
      <c r="E303" s="12" t="s">
        <v>57</v>
      </c>
      <c r="F303" s="6">
        <v>4485.7</v>
      </c>
      <c r="G303" s="6">
        <v>4278.5600000000004</v>
      </c>
    </row>
    <row r="304" spans="1:7" x14ac:dyDescent="0.25">
      <c r="A304" t="s">
        <v>78</v>
      </c>
      <c r="B304" t="s">
        <v>60</v>
      </c>
      <c r="C304" t="s">
        <v>24</v>
      </c>
      <c r="D304" s="6">
        <v>41.37</v>
      </c>
      <c r="E304" s="12" t="s">
        <v>57</v>
      </c>
      <c r="F304" s="6">
        <v>4527.07</v>
      </c>
      <c r="G304" s="6">
        <v>4485.7</v>
      </c>
    </row>
    <row r="305" spans="1:7" x14ac:dyDescent="0.25">
      <c r="A305" t="s">
        <v>78</v>
      </c>
      <c r="B305" t="s">
        <v>68</v>
      </c>
      <c r="C305" t="s">
        <v>26</v>
      </c>
      <c r="D305" s="6">
        <v>54.15</v>
      </c>
      <c r="E305" s="12" t="s">
        <v>57</v>
      </c>
      <c r="F305" s="6">
        <v>4581.22</v>
      </c>
      <c r="G305" s="6">
        <v>4527.07</v>
      </c>
    </row>
    <row r="306" spans="1:7" x14ac:dyDescent="0.25">
      <c r="A306" t="s">
        <v>77</v>
      </c>
      <c r="B306" t="s">
        <v>60</v>
      </c>
      <c r="C306" t="s">
        <v>24</v>
      </c>
      <c r="D306" s="6">
        <v>81.489999999999995</v>
      </c>
      <c r="E306" s="12" t="s">
        <v>57</v>
      </c>
      <c r="F306" s="6">
        <v>4662.71</v>
      </c>
      <c r="G306" s="6">
        <v>4581.22</v>
      </c>
    </row>
    <row r="307" spans="1:7" x14ac:dyDescent="0.25">
      <c r="A307" t="s">
        <v>76</v>
      </c>
      <c r="B307" t="s">
        <v>58</v>
      </c>
      <c r="C307" t="s">
        <v>28</v>
      </c>
      <c r="D307" s="6">
        <v>372.58</v>
      </c>
      <c r="E307" s="12" t="s">
        <v>57</v>
      </c>
      <c r="F307" s="6">
        <v>5035.29</v>
      </c>
      <c r="G307" s="6">
        <v>4662.71</v>
      </c>
    </row>
    <row r="308" spans="1:7" x14ac:dyDescent="0.25">
      <c r="A308" t="s">
        <v>76</v>
      </c>
      <c r="B308" t="s">
        <v>60</v>
      </c>
      <c r="C308" t="s">
        <v>24</v>
      </c>
      <c r="D308" s="6">
        <v>197.36</v>
      </c>
      <c r="E308" s="12" t="s">
        <v>57</v>
      </c>
      <c r="F308" s="6">
        <v>5232.6499999999996</v>
      </c>
      <c r="G308" s="6">
        <v>5035.29</v>
      </c>
    </row>
    <row r="309" spans="1:7" x14ac:dyDescent="0.25">
      <c r="A309" t="s">
        <v>74</v>
      </c>
      <c r="B309" t="s">
        <v>75</v>
      </c>
      <c r="C309" t="s">
        <v>25</v>
      </c>
      <c r="D309" s="6">
        <v>85.63</v>
      </c>
      <c r="E309" s="12" t="s">
        <v>57</v>
      </c>
      <c r="F309" s="6">
        <v>5318.28</v>
      </c>
      <c r="G309" s="6">
        <v>5232.6499999999996</v>
      </c>
    </row>
    <row r="310" spans="1:7" x14ac:dyDescent="0.25">
      <c r="A310" t="s">
        <v>71</v>
      </c>
      <c r="B310" t="s">
        <v>73</v>
      </c>
      <c r="C310" t="s">
        <v>24</v>
      </c>
      <c r="D310" s="6">
        <v>55.76</v>
      </c>
      <c r="E310" s="12" t="s">
        <v>57</v>
      </c>
      <c r="F310" s="6">
        <v>5374.04</v>
      </c>
      <c r="G310" s="6">
        <v>5318.28</v>
      </c>
    </row>
    <row r="311" spans="1:7" x14ac:dyDescent="0.25">
      <c r="A311" t="s">
        <v>71</v>
      </c>
      <c r="B311" t="s">
        <v>72</v>
      </c>
      <c r="C311" t="s">
        <v>24</v>
      </c>
      <c r="D311" s="6">
        <v>45.82</v>
      </c>
      <c r="E311" s="12" t="s">
        <v>57</v>
      </c>
      <c r="F311" s="6">
        <v>5419.86</v>
      </c>
      <c r="G311" s="6">
        <v>5374.04</v>
      </c>
    </row>
    <row r="312" spans="1:7" x14ac:dyDescent="0.25">
      <c r="A312" t="s">
        <v>69</v>
      </c>
      <c r="B312" t="s">
        <v>70</v>
      </c>
      <c r="C312" t="s">
        <v>26</v>
      </c>
      <c r="D312" s="6">
        <v>49.48</v>
      </c>
      <c r="E312" s="12" t="s">
        <v>57</v>
      </c>
      <c r="F312" s="6">
        <v>5469.34</v>
      </c>
      <c r="G312" s="6">
        <v>5419.86</v>
      </c>
    </row>
    <row r="313" spans="1:7" x14ac:dyDescent="0.25">
      <c r="A313" t="s">
        <v>66</v>
      </c>
      <c r="B313" t="s">
        <v>68</v>
      </c>
      <c r="C313" t="s">
        <v>26</v>
      </c>
      <c r="D313" s="6">
        <v>120.25</v>
      </c>
      <c r="E313" s="12" t="s">
        <v>57</v>
      </c>
      <c r="F313" s="6">
        <v>5589.59</v>
      </c>
      <c r="G313" s="6">
        <v>5469.34</v>
      </c>
    </row>
    <row r="314" spans="1:7" x14ac:dyDescent="0.25">
      <c r="A314" t="s">
        <v>66</v>
      </c>
      <c r="B314" t="s">
        <v>67</v>
      </c>
      <c r="C314" t="s">
        <v>26</v>
      </c>
      <c r="D314" s="6">
        <v>132.84</v>
      </c>
      <c r="E314" s="12" t="s">
        <v>57</v>
      </c>
      <c r="F314" s="6">
        <v>5722.43</v>
      </c>
      <c r="G314" s="6">
        <v>5589.59</v>
      </c>
    </row>
    <row r="315" spans="1:7" x14ac:dyDescent="0.25">
      <c r="A315" t="s">
        <v>64</v>
      </c>
      <c r="B315" t="s">
        <v>65</v>
      </c>
      <c r="C315" t="s">
        <v>26</v>
      </c>
      <c r="D315" s="6">
        <v>40.65</v>
      </c>
      <c r="E315" s="12" t="s">
        <v>57</v>
      </c>
      <c r="F315" s="6">
        <v>5763.08</v>
      </c>
      <c r="G315" s="6">
        <v>5722.43</v>
      </c>
    </row>
  </sheetData>
  <sortState xmlns:xlrd2="http://schemas.microsoft.com/office/spreadsheetml/2017/richdata2" ref="A2:G315">
    <sortCondition ref="F18:F315"/>
  </sortState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Dashboard</vt:lpstr>
      <vt:lpstr>Top10_Gastos</vt:lpstr>
      <vt:lpstr>Tabla_Dinamica</vt:lpstr>
      <vt:lpstr>Outliers_Detectados</vt:lpstr>
      <vt:lpstr>Datos_Completos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Ronaldo Perez</cp:lastModifiedBy>
  <cp:revision>1</cp:revision>
  <dcterms:created xsi:type="dcterms:W3CDTF">2026-06-25T15:30:27Z</dcterms:created>
  <dcterms:modified xsi:type="dcterms:W3CDTF">2026-06-25T15:55:52Z</dcterms:modified>
  <dc:language>en-US</dc:language>
</cp:coreProperties>
</file>